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ziang/Library/CloudStorage/Nextcloud-ziang.dai@drive.ziang.xyz/uni/str/str/examen/ziang/"/>
    </mc:Choice>
  </mc:AlternateContent>
  <xr:revisionPtr revIDLastSave="0" documentId="13_ncr:1_{7DAAB7EF-33D3-AC45-8668-3A6A00C000FB}" xr6:coauthVersionLast="47" xr6:coauthVersionMax="47" xr10:uidLastSave="{00000000-0000-0000-0000-000000000000}"/>
  <bookViews>
    <workbookView xWindow="34400" yWindow="500" windowWidth="34400" windowHeight="28300" activeTab="1" xr2:uid="{169D08EE-DBA2-1740-96A5-C53B161C1B38}"/>
  </bookViews>
  <sheets>
    <sheet name="Tasks" sheetId="1" r:id="rId1"/>
    <sheet name="Sheet1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4" i="1" l="1"/>
  <c r="N24" i="1"/>
  <c r="O24" i="1"/>
  <c r="P24" i="1"/>
  <c r="Q24" i="1"/>
  <c r="R24" i="1"/>
  <c r="S24" i="1"/>
  <c r="T24" i="1"/>
  <c r="U24" i="1"/>
  <c r="V24" i="1"/>
  <c r="W24" i="1"/>
  <c r="X24" i="1"/>
  <c r="Y24" i="1"/>
  <c r="Z24" i="1"/>
  <c r="AA24" i="1"/>
  <c r="AB24" i="1"/>
  <c r="AC24" i="1"/>
  <c r="AD24" i="1"/>
  <c r="AE24" i="1"/>
  <c r="AF24" i="1"/>
  <c r="AG24" i="1"/>
  <c r="AH24" i="1"/>
  <c r="AI24" i="1"/>
  <c r="AJ24" i="1"/>
  <c r="L24" i="1"/>
  <c r="AJ21" i="1"/>
  <c r="M23" i="1"/>
  <c r="N23" i="1"/>
  <c r="O23" i="1"/>
  <c r="P23" i="1"/>
  <c r="Q23" i="1"/>
  <c r="R23" i="1"/>
  <c r="S23" i="1"/>
  <c r="T23" i="1"/>
  <c r="U23" i="1"/>
  <c r="V23" i="1"/>
  <c r="W23" i="1"/>
  <c r="X23" i="1"/>
  <c r="Y23" i="1"/>
  <c r="Z23" i="1"/>
  <c r="AA23" i="1"/>
  <c r="AB23" i="1"/>
  <c r="AC23" i="1"/>
  <c r="AD23" i="1"/>
  <c r="AE23" i="1"/>
  <c r="AF23" i="1"/>
  <c r="AG23" i="1"/>
  <c r="AH23" i="1"/>
  <c r="AI23" i="1"/>
  <c r="AJ23" i="1"/>
  <c r="L23" i="1"/>
  <c r="L18" i="1"/>
  <c r="L19" i="1"/>
  <c r="M19" i="1"/>
  <c r="N19" i="1"/>
  <c r="O19" i="1"/>
  <c r="P19" i="1"/>
  <c r="Q19" i="1"/>
  <c r="R19" i="1"/>
  <c r="S19" i="1"/>
  <c r="T19" i="1"/>
  <c r="U19" i="1"/>
  <c r="V19" i="1"/>
  <c r="W19" i="1"/>
  <c r="X19" i="1"/>
  <c r="Y19" i="1"/>
  <c r="Z19" i="1"/>
  <c r="AA19" i="1"/>
  <c r="AB19" i="1"/>
  <c r="AC19" i="1"/>
  <c r="AD19" i="1"/>
  <c r="AE19" i="1"/>
  <c r="AF19" i="1"/>
  <c r="AG19" i="1"/>
  <c r="AH19" i="1"/>
  <c r="AI19" i="1"/>
  <c r="AJ19" i="1"/>
  <c r="L20" i="1"/>
  <c r="M20" i="1"/>
  <c r="N20" i="1"/>
  <c r="O20" i="1"/>
  <c r="P20" i="1"/>
  <c r="Q20" i="1"/>
  <c r="R20" i="1"/>
  <c r="S20" i="1"/>
  <c r="T20" i="1"/>
  <c r="U20" i="1"/>
  <c r="V20" i="1"/>
  <c r="W20" i="1"/>
  <c r="X20" i="1"/>
  <c r="Y20" i="1"/>
  <c r="Z20" i="1"/>
  <c r="AA20" i="1"/>
  <c r="AB20" i="1"/>
  <c r="AC20" i="1"/>
  <c r="AD20" i="1"/>
  <c r="AE20" i="1"/>
  <c r="AF20" i="1"/>
  <c r="AG20" i="1"/>
  <c r="AH20" i="1"/>
  <c r="AI20" i="1"/>
  <c r="AJ20" i="1"/>
  <c r="L21" i="1"/>
  <c r="M21" i="1"/>
  <c r="N21" i="1"/>
  <c r="O21" i="1"/>
  <c r="P21" i="1"/>
  <c r="Q21" i="1"/>
  <c r="R21" i="1"/>
  <c r="S21" i="1"/>
  <c r="T21" i="1"/>
  <c r="U21" i="1"/>
  <c r="V21" i="1"/>
  <c r="W21" i="1"/>
  <c r="X21" i="1"/>
  <c r="Y21" i="1"/>
  <c r="Z21" i="1"/>
  <c r="AA21" i="1"/>
  <c r="AB21" i="1"/>
  <c r="AC21" i="1"/>
  <c r="AD21" i="1"/>
  <c r="AE21" i="1"/>
  <c r="AF21" i="1"/>
  <c r="AG21" i="1"/>
  <c r="AH21" i="1"/>
  <c r="AI21" i="1"/>
  <c r="L22" i="1"/>
  <c r="M22" i="1"/>
  <c r="N22" i="1"/>
  <c r="O22" i="1"/>
  <c r="P22" i="1"/>
  <c r="Q22" i="1"/>
  <c r="R22" i="1"/>
  <c r="S22" i="1"/>
  <c r="T22" i="1"/>
  <c r="U22" i="1"/>
  <c r="V22" i="1"/>
  <c r="W22" i="1"/>
  <c r="X22" i="1"/>
  <c r="Y22" i="1"/>
  <c r="Z22" i="1"/>
  <c r="AA22" i="1"/>
  <c r="AB22" i="1"/>
  <c r="AC22" i="1"/>
  <c r="AD22" i="1"/>
  <c r="AE22" i="1"/>
  <c r="AF22" i="1"/>
  <c r="AG22" i="1"/>
  <c r="AH22" i="1"/>
  <c r="AI22" i="1"/>
  <c r="AJ22" i="1"/>
  <c r="N18" i="1"/>
  <c r="M18" i="1"/>
  <c r="AJ18" i="1"/>
  <c r="O18" i="1"/>
  <c r="P18" i="1"/>
  <c r="Q18" i="1"/>
  <c r="R18" i="1"/>
  <c r="S18" i="1"/>
  <c r="T18" i="1"/>
  <c r="U18" i="1"/>
  <c r="V18" i="1"/>
  <c r="W18" i="1"/>
  <c r="X18" i="1"/>
  <c r="Y18" i="1"/>
  <c r="Z18" i="1"/>
  <c r="AA18" i="1"/>
  <c r="AB18" i="1"/>
  <c r="AC18" i="1"/>
  <c r="AD18" i="1"/>
  <c r="AE18" i="1"/>
  <c r="AF18" i="1"/>
  <c r="AG18" i="1"/>
  <c r="AH18" i="1"/>
  <c r="AI18" i="1"/>
  <c r="L12" i="1"/>
  <c r="M12" i="1"/>
  <c r="N12" i="1"/>
  <c r="O12" i="1"/>
  <c r="P12" i="1"/>
  <c r="Q12" i="1"/>
  <c r="R12" i="1"/>
  <c r="L13" i="1"/>
  <c r="M13" i="1"/>
  <c r="N13" i="1"/>
  <c r="O13" i="1"/>
  <c r="P13" i="1"/>
  <c r="Q13" i="1"/>
  <c r="R13" i="1"/>
  <c r="L14" i="1"/>
  <c r="M14" i="1"/>
  <c r="N14" i="1"/>
  <c r="O14" i="1"/>
  <c r="P14" i="1"/>
  <c r="Q14" i="1"/>
  <c r="R14" i="1"/>
  <c r="L15" i="1"/>
  <c r="M15" i="1"/>
  <c r="N15" i="1"/>
  <c r="O15" i="1"/>
  <c r="P15" i="1"/>
  <c r="Q15" i="1"/>
  <c r="R15" i="1"/>
  <c r="M11" i="1"/>
  <c r="N11" i="1"/>
  <c r="O11" i="1"/>
  <c r="P11" i="1"/>
  <c r="Q11" i="1"/>
  <c r="R11" i="1"/>
  <c r="L11" i="1"/>
  <c r="H3" i="1"/>
  <c r="F11" i="1"/>
  <c r="F12" i="1"/>
  <c r="I12" i="1" s="1"/>
  <c r="F13" i="1"/>
  <c r="I13" i="1" s="1"/>
  <c r="F14" i="1"/>
  <c r="F15" i="1"/>
  <c r="C12" i="1"/>
  <c r="C13" i="1"/>
  <c r="C14" i="1"/>
  <c r="I14" i="1" s="1"/>
  <c r="C15" i="1"/>
  <c r="I15" i="1" s="1"/>
  <c r="C11" i="1"/>
  <c r="I11" i="1" s="1"/>
  <c r="I16" i="1" s="1"/>
  <c r="C16" i="1" l="1"/>
  <c r="I17" i="1" s="1"/>
  <c r="H2" i="1" s="1"/>
  <c r="H4" i="1" s="1"/>
</calcChain>
</file>

<file path=xl/sharedStrings.xml><?xml version="1.0" encoding="utf-8"?>
<sst xmlns="http://schemas.openxmlformats.org/spreadsheetml/2006/main" count="316" uniqueCount="274">
  <si>
    <t>Task 𝜏</t>
  </si>
  <si>
    <t>Computation Time 𝐶</t>
  </si>
  <si>
    <t>Period 𝑇</t>
  </si>
  <si>
    <t>Deadline 𝐷</t>
  </si>
  <si>
    <t>𝜏1</t>
  </si>
  <si>
    <t>𝜏2</t>
  </si>
  <si>
    <t>𝜏3</t>
  </si>
  <si>
    <t>𝜏4</t>
  </si>
  <si>
    <t>𝜏5</t>
  </si>
  <si>
    <t>1ms</t>
  </si>
  <si>
    <t>2ms</t>
  </si>
  <si>
    <t>3ms</t>
  </si>
  <si>
    <t>4ms</t>
  </si>
  <si>
    <t>5ms</t>
  </si>
  <si>
    <t>6ms</t>
  </si>
  <si>
    <t>7ms</t>
  </si>
  <si>
    <t>8ms</t>
  </si>
  <si>
    <t>9ms</t>
  </si>
  <si>
    <t>10ms</t>
  </si>
  <si>
    <t>11ms</t>
  </si>
  <si>
    <t>12ms</t>
  </si>
  <si>
    <t>13ms</t>
  </si>
  <si>
    <t>14ms</t>
  </si>
  <si>
    <t>15ms</t>
  </si>
  <si>
    <t>16ms</t>
  </si>
  <si>
    <t>17ms</t>
  </si>
  <si>
    <t>18ms</t>
  </si>
  <si>
    <t>19ms</t>
  </si>
  <si>
    <t>20ms</t>
  </si>
  <si>
    <t>21ms</t>
  </si>
  <si>
    <t>22ms</t>
  </si>
  <si>
    <t>23ms</t>
  </si>
  <si>
    <t>24ms</t>
  </si>
  <si>
    <t>25ms</t>
  </si>
  <si>
    <t>26ms</t>
  </si>
  <si>
    <t>27ms</t>
  </si>
  <si>
    <t>28ms</t>
  </si>
  <si>
    <t>29ms</t>
  </si>
  <si>
    <t>30ms</t>
  </si>
  <si>
    <t>31ms</t>
  </si>
  <si>
    <t>32ms</t>
  </si>
  <si>
    <t>33ms</t>
  </si>
  <si>
    <t>34ms</t>
  </si>
  <si>
    <t>35ms</t>
  </si>
  <si>
    <t>36ms</t>
  </si>
  <si>
    <t>37ms</t>
  </si>
  <si>
    <t>38ms</t>
  </si>
  <si>
    <t>39ms</t>
  </si>
  <si>
    <t>40ms</t>
  </si>
  <si>
    <t>41ms</t>
  </si>
  <si>
    <t>42ms</t>
  </si>
  <si>
    <t>43ms</t>
  </si>
  <si>
    <t>44ms</t>
  </si>
  <si>
    <t>45ms</t>
  </si>
  <si>
    <t>46ms</t>
  </si>
  <si>
    <t>47ms</t>
  </si>
  <si>
    <t>48ms</t>
  </si>
  <si>
    <t>49ms</t>
  </si>
  <si>
    <t>50ms</t>
  </si>
  <si>
    <t>Scheduling</t>
  </si>
  <si>
    <t>Periods</t>
  </si>
  <si>
    <t>51ms</t>
  </si>
  <si>
    <t>52ms</t>
  </si>
  <si>
    <t>53ms</t>
  </si>
  <si>
    <t>54ms</t>
  </si>
  <si>
    <t>55ms</t>
  </si>
  <si>
    <t>56ms</t>
  </si>
  <si>
    <t>57ms</t>
  </si>
  <si>
    <t>58ms</t>
  </si>
  <si>
    <t>59ms</t>
  </si>
  <si>
    <t>60ms</t>
  </si>
  <si>
    <t>61ms</t>
  </si>
  <si>
    <t>62ms</t>
  </si>
  <si>
    <t>63ms</t>
  </si>
  <si>
    <t>64ms</t>
  </si>
  <si>
    <t>65ms</t>
  </si>
  <si>
    <t>66ms</t>
  </si>
  <si>
    <t>67ms</t>
  </si>
  <si>
    <t>68ms</t>
  </si>
  <si>
    <t>69ms</t>
  </si>
  <si>
    <t>70ms</t>
  </si>
  <si>
    <t>71ms</t>
  </si>
  <si>
    <t>72ms</t>
  </si>
  <si>
    <t>73ms</t>
  </si>
  <si>
    <t>74ms</t>
  </si>
  <si>
    <t>75ms</t>
  </si>
  <si>
    <t>76ms</t>
  </si>
  <si>
    <t>77ms</t>
  </si>
  <si>
    <t>78ms</t>
  </si>
  <si>
    <t>79ms</t>
  </si>
  <si>
    <t>80ms</t>
  </si>
  <si>
    <t>81ms</t>
  </si>
  <si>
    <t>82ms</t>
  </si>
  <si>
    <t>83ms</t>
  </si>
  <si>
    <t>84ms</t>
  </si>
  <si>
    <t>85ms</t>
  </si>
  <si>
    <t>86ms</t>
  </si>
  <si>
    <t>87ms</t>
  </si>
  <si>
    <t>88ms</t>
  </si>
  <si>
    <t>89ms</t>
  </si>
  <si>
    <t>90ms</t>
  </si>
  <si>
    <t>91ms</t>
  </si>
  <si>
    <t>92ms</t>
  </si>
  <si>
    <t>93ms</t>
  </si>
  <si>
    <t>94ms</t>
  </si>
  <si>
    <t>95ms</t>
  </si>
  <si>
    <t>96ms</t>
  </si>
  <si>
    <t>97ms</t>
  </si>
  <si>
    <t>98ms</t>
  </si>
  <si>
    <t>99ms</t>
  </si>
  <si>
    <t>100ms</t>
  </si>
  <si>
    <t>101ms</t>
  </si>
  <si>
    <t>102ms</t>
  </si>
  <si>
    <t>103ms</t>
  </si>
  <si>
    <t>104ms</t>
  </si>
  <si>
    <t>105ms</t>
  </si>
  <si>
    <t>106ms</t>
  </si>
  <si>
    <t>107ms</t>
  </si>
  <si>
    <t>108ms</t>
  </si>
  <si>
    <t>109ms</t>
  </si>
  <si>
    <t>110ms</t>
  </si>
  <si>
    <t>111ms</t>
  </si>
  <si>
    <t>112ms</t>
  </si>
  <si>
    <t>113ms</t>
  </si>
  <si>
    <t>114ms</t>
  </si>
  <si>
    <t>115ms</t>
  </si>
  <si>
    <t>116ms</t>
  </si>
  <si>
    <t>117ms</t>
  </si>
  <si>
    <t>118ms</t>
  </si>
  <si>
    <t>119ms</t>
  </si>
  <si>
    <t>120ms</t>
  </si>
  <si>
    <t>121ms</t>
  </si>
  <si>
    <t>122ms</t>
  </si>
  <si>
    <t>123ms</t>
  </si>
  <si>
    <t>124ms</t>
  </si>
  <si>
    <t>125ms</t>
  </si>
  <si>
    <t>126ms</t>
  </si>
  <si>
    <t>127ms</t>
  </si>
  <si>
    <t>128ms</t>
  </si>
  <si>
    <t>129ms</t>
  </si>
  <si>
    <t>130ms</t>
  </si>
  <si>
    <t>131ms</t>
  </si>
  <si>
    <t>132ms</t>
  </si>
  <si>
    <t>133ms</t>
  </si>
  <si>
    <t>134ms</t>
  </si>
  <si>
    <t>135ms</t>
  </si>
  <si>
    <t>136ms</t>
  </si>
  <si>
    <t>137ms</t>
  </si>
  <si>
    <t>138ms</t>
  </si>
  <si>
    <t>139ms</t>
  </si>
  <si>
    <t>140ms</t>
  </si>
  <si>
    <t>141ms</t>
  </si>
  <si>
    <t>142ms</t>
  </si>
  <si>
    <t>143ms</t>
  </si>
  <si>
    <t>144ms</t>
  </si>
  <si>
    <t>145ms</t>
  </si>
  <si>
    <t>146ms</t>
  </si>
  <si>
    <t>147ms</t>
  </si>
  <si>
    <t>148ms</t>
  </si>
  <si>
    <t>149ms</t>
  </si>
  <si>
    <t>150ms</t>
  </si>
  <si>
    <t>151ms</t>
  </si>
  <si>
    <t>152ms</t>
  </si>
  <si>
    <t>153ms</t>
  </si>
  <si>
    <t>154ms</t>
  </si>
  <si>
    <t>155ms</t>
  </si>
  <si>
    <t>156ms</t>
  </si>
  <si>
    <t>157ms</t>
  </si>
  <si>
    <t>158ms</t>
  </si>
  <si>
    <t>159ms</t>
  </si>
  <si>
    <t>160ms</t>
  </si>
  <si>
    <t>161ms</t>
  </si>
  <si>
    <t>162ms</t>
  </si>
  <si>
    <t>163ms</t>
  </si>
  <si>
    <t>164ms</t>
  </si>
  <si>
    <t>165ms</t>
  </si>
  <si>
    <t>166ms</t>
  </si>
  <si>
    <t>167ms</t>
  </si>
  <si>
    <t>168ms</t>
  </si>
  <si>
    <t>169ms</t>
  </si>
  <si>
    <t>170ms</t>
  </si>
  <si>
    <t>171ms</t>
  </si>
  <si>
    <t>172ms</t>
  </si>
  <si>
    <t>173ms</t>
  </si>
  <si>
    <t>174ms</t>
  </si>
  <si>
    <t>175ms</t>
  </si>
  <si>
    <t>176ms</t>
  </si>
  <si>
    <t>177ms</t>
  </si>
  <si>
    <t>178ms</t>
  </si>
  <si>
    <t>179ms</t>
  </si>
  <si>
    <t>180ms</t>
  </si>
  <si>
    <t>181ms</t>
  </si>
  <si>
    <t>182ms</t>
  </si>
  <si>
    <t>183ms</t>
  </si>
  <si>
    <t>184ms</t>
  </si>
  <si>
    <t>185ms</t>
  </si>
  <si>
    <t>186ms</t>
  </si>
  <si>
    <t>187ms</t>
  </si>
  <si>
    <t>188ms</t>
  </si>
  <si>
    <t>189ms</t>
  </si>
  <si>
    <t>190ms</t>
  </si>
  <si>
    <t>191ms</t>
  </si>
  <si>
    <t>192ms</t>
  </si>
  <si>
    <t>193ms</t>
  </si>
  <si>
    <t>194ms</t>
  </si>
  <si>
    <t>195ms</t>
  </si>
  <si>
    <t>196ms</t>
  </si>
  <si>
    <t>197ms</t>
  </si>
  <si>
    <t>198ms</t>
  </si>
  <si>
    <t>199ms</t>
  </si>
  <si>
    <t>200ms</t>
  </si>
  <si>
    <t>201ms</t>
  </si>
  <si>
    <t>202ms</t>
  </si>
  <si>
    <t>203ms</t>
  </si>
  <si>
    <t>204ms</t>
  </si>
  <si>
    <t>205ms</t>
  </si>
  <si>
    <t>206ms</t>
  </si>
  <si>
    <t>207ms</t>
  </si>
  <si>
    <t>208ms</t>
  </si>
  <si>
    <t>209ms</t>
  </si>
  <si>
    <t>210ms</t>
  </si>
  <si>
    <t>211ms</t>
  </si>
  <si>
    <t>212ms</t>
  </si>
  <si>
    <t>213ms</t>
  </si>
  <si>
    <t>214ms</t>
  </si>
  <si>
    <t>215ms</t>
  </si>
  <si>
    <t>216ms</t>
  </si>
  <si>
    <t>217ms</t>
  </si>
  <si>
    <t>218ms</t>
  </si>
  <si>
    <t>219ms</t>
  </si>
  <si>
    <t>220ms</t>
  </si>
  <si>
    <t>221ms</t>
  </si>
  <si>
    <t>222ms</t>
  </si>
  <si>
    <t>223ms</t>
  </si>
  <si>
    <t>224ms</t>
  </si>
  <si>
    <t>225ms</t>
  </si>
  <si>
    <t>226ms</t>
  </si>
  <si>
    <t>227ms</t>
  </si>
  <si>
    <t>228ms</t>
  </si>
  <si>
    <t>229ms</t>
  </si>
  <si>
    <t>230ms</t>
  </si>
  <si>
    <t>231ms</t>
  </si>
  <si>
    <t>232ms</t>
  </si>
  <si>
    <t>233ms</t>
  </si>
  <si>
    <t>234ms</t>
  </si>
  <si>
    <t>235ms</t>
  </si>
  <si>
    <t>236ms</t>
  </si>
  <si>
    <t>237ms</t>
  </si>
  <si>
    <t>238ms</t>
  </si>
  <si>
    <t>239ms</t>
  </si>
  <si>
    <t>240ms</t>
  </si>
  <si>
    <t>241ms</t>
  </si>
  <si>
    <t>242ms</t>
  </si>
  <si>
    <t>243ms</t>
  </si>
  <si>
    <t>244ms</t>
  </si>
  <si>
    <t>245ms</t>
  </si>
  <si>
    <t>246ms</t>
  </si>
  <si>
    <t>247ms</t>
  </si>
  <si>
    <t>248ms</t>
  </si>
  <si>
    <t>249ms</t>
  </si>
  <si>
    <t>250ms</t>
  </si>
  <si>
    <t>Times</t>
  </si>
  <si>
    <t>Deadlines</t>
  </si>
  <si>
    <t>Utilization</t>
  </si>
  <si>
    <t>total</t>
  </si>
  <si>
    <t>𝐿*</t>
  </si>
  <si>
    <t>𝐻</t>
  </si>
  <si>
    <t>𝑇 - 𝐷</t>
  </si>
  <si>
    <t>sum</t>
  </si>
  <si>
    <t>min(𝐿*, 𝐻)</t>
  </si>
  <si>
    <t>𝑘</t>
  </si>
  <si>
    <t>g(0, 𝐿)</t>
  </si>
  <si>
    <t>𝐿</t>
  </si>
  <si>
    <t>g(0, 𝐿) &lt; 𝐿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</si>
</sst>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4"/>
      <color theme="1"/>
      <name val="Aptos Narrow"/>
      <scheme val="minor"/>
    </font>
  </fonts>
  <fills count="8">
    <fill>
      <patternFill patternType="none"/>
    </fill>
    <fill>
      <patternFill patternType="gray125"/>
    </fill>
    <fill>
      <patternFill patternType="solid">
        <fgColor theme="5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00FDFF"/>
        <bgColor indexed="64"/>
      </patternFill>
    </fill>
  </fills>
  <borders count="2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0">
    <xf numFmtId="0" fontId="0" fillId="0" borderId="0" xfId="0"/>
    <xf numFmtId="0" fontId="1" fillId="0" borderId="0" xfId="0" applyFont="1"/>
    <xf numFmtId="0" fontId="1" fillId="0" borderId="0" xfId="0" applyFont="1" applyBorder="1"/>
    <xf numFmtId="0" fontId="1" fillId="0" borderId="1" xfId="0" applyFont="1" applyBorder="1"/>
    <xf numFmtId="0" fontId="1" fillId="0" borderId="4" xfId="0" applyFont="1" applyBorder="1"/>
    <xf numFmtId="0" fontId="1" fillId="0" borderId="5" xfId="0" applyFont="1" applyBorder="1"/>
    <xf numFmtId="0" fontId="1" fillId="0" borderId="7" xfId="0" applyFont="1" applyBorder="1"/>
    <xf numFmtId="0" fontId="1" fillId="0" borderId="8" xfId="0" applyFont="1" applyBorder="1"/>
    <xf numFmtId="0" fontId="3" fillId="0" borderId="2" xfId="0" applyFont="1" applyBorder="1"/>
    <xf numFmtId="0" fontId="3" fillId="0" borderId="9" xfId="0" applyFont="1" applyBorder="1"/>
    <xf numFmtId="0" fontId="3" fillId="0" borderId="10" xfId="0" applyFont="1" applyBorder="1"/>
    <xf numFmtId="0" fontId="1" fillId="0" borderId="12" xfId="0" applyFont="1" applyBorder="1"/>
    <xf numFmtId="0" fontId="1" fillId="0" borderId="13" xfId="0" applyFont="1" applyBorder="1"/>
    <xf numFmtId="0" fontId="1" fillId="0" borderId="11" xfId="0" applyFont="1" applyBorder="1"/>
    <xf numFmtId="0" fontId="1" fillId="0" borderId="14" xfId="0" applyFont="1" applyBorder="1"/>
    <xf numFmtId="0" fontId="1" fillId="0" borderId="17" xfId="0" applyFont="1" applyBorder="1"/>
    <xf numFmtId="0" fontId="1" fillId="3" borderId="13" xfId="0" applyFont="1" applyFill="1" applyBorder="1"/>
    <xf numFmtId="0" fontId="1" fillId="0" borderId="19" xfId="0" applyFont="1" applyBorder="1"/>
    <xf numFmtId="0" fontId="1" fillId="0" borderId="20" xfId="0" applyFont="1" applyBorder="1"/>
    <xf numFmtId="0" fontId="1" fillId="0" borderId="21" xfId="0" applyFont="1" applyBorder="1"/>
    <xf numFmtId="0" fontId="1" fillId="2" borderId="13" xfId="0" applyFont="1" applyFill="1" applyBorder="1"/>
    <xf numFmtId="0" fontId="1" fillId="5" borderId="13" xfId="0" applyFont="1" applyFill="1" applyBorder="1"/>
    <xf numFmtId="0" fontId="1" fillId="6" borderId="13" xfId="0" applyFont="1" applyFill="1" applyBorder="1"/>
    <xf numFmtId="0" fontId="1" fillId="7" borderId="16" xfId="0" applyFont="1" applyFill="1" applyBorder="1"/>
    <xf numFmtId="0" fontId="1" fillId="0" borderId="3" xfId="0" applyFont="1" applyBorder="1"/>
    <xf numFmtId="0" fontId="1" fillId="0" borderId="6" xfId="0" applyFont="1" applyBorder="1"/>
    <xf numFmtId="0" fontId="1" fillId="0" borderId="23" xfId="0" applyFont="1" applyBorder="1" applyAlignment="1">
      <alignment horizontal="center"/>
    </xf>
    <xf numFmtId="0" fontId="1" fillId="0" borderId="10" xfId="0" applyFont="1" applyBorder="1" applyAlignment="1">
      <alignment horizontal="center"/>
    </xf>
    <xf numFmtId="0" fontId="1" fillId="0" borderId="2" xfId="0" applyFont="1" applyBorder="1"/>
    <xf numFmtId="0" fontId="1" fillId="0" borderId="10" xfId="0" applyFont="1" applyBorder="1"/>
    <xf numFmtId="0" fontId="3" fillId="0" borderId="23" xfId="0" applyFont="1" applyBorder="1" applyAlignment="1">
      <alignment horizontal="center"/>
    </xf>
    <xf numFmtId="0" fontId="3" fillId="0" borderId="10" xfId="0" applyFont="1" applyBorder="1" applyAlignment="1">
      <alignment horizontal="center"/>
    </xf>
    <xf numFmtId="0" fontId="3" fillId="0" borderId="8" xfId="0" applyFont="1" applyBorder="1"/>
    <xf numFmtId="0" fontId="3" fillId="0" borderId="5" xfId="0" applyFont="1" applyBorder="1"/>
    <xf numFmtId="0" fontId="1" fillId="0" borderId="9" xfId="0" applyFont="1" applyBorder="1"/>
    <xf numFmtId="0" fontId="3" fillId="0" borderId="23" xfId="0" applyFont="1" applyBorder="1"/>
    <xf numFmtId="0" fontId="1" fillId="0" borderId="22" xfId="0" applyFont="1" applyBorder="1" applyAlignment="1"/>
    <xf numFmtId="0" fontId="1" fillId="0" borderId="0" xfId="0" applyFont="1" applyBorder="1" applyAlignment="1"/>
    <xf numFmtId="0" fontId="1" fillId="4" borderId="15" xfId="0" applyFont="1" applyFill="1" applyBorder="1"/>
    <xf numFmtId="0" fontId="1" fillId="4" borderId="18" xfId="0" applyFont="1" applyFill="1" applyBorder="1"/>
  </cellXfs>
  <cellStyles count="1">
    <cellStyle name="Normal" xfId="0" builtinId="0"/>
  </cellStyles>
  <dxfs count="2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00FD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DADAC3-6B05-9D4B-BAB6-21CD4D067C4E}">
  <dimension ref="A1:AJ44"/>
  <sheetViews>
    <sheetView workbookViewId="0">
      <selection activeCell="I19" sqref="I19"/>
    </sheetView>
  </sheetViews>
  <sheetFormatPr baseColWidth="10" defaultColWidth="10.6640625" defaultRowHeight="19" x14ac:dyDescent="0.25"/>
  <cols>
    <col min="1" max="2" width="6.83203125" style="1" bestFit="1" customWidth="1"/>
    <col min="3" max="3" width="20.33203125" style="1" bestFit="1" customWidth="1"/>
    <col min="4" max="4" width="11.6640625" style="1" bestFit="1" customWidth="1"/>
    <col min="5" max="5" width="9" style="1" bestFit="1" customWidth="1"/>
    <col min="6" max="6" width="3.5" style="1" bestFit="1" customWidth="1"/>
    <col min="7" max="7" width="11" style="1" bestFit="1" customWidth="1"/>
    <col min="8" max="8" width="5.1640625" style="1" bestFit="1" customWidth="1"/>
    <col min="9" max="9" width="14" style="1" bestFit="1" customWidth="1"/>
    <col min="10" max="10" width="10.6640625" style="1"/>
    <col min="11" max="11" width="10.1640625" style="1" bestFit="1" customWidth="1"/>
    <col min="12" max="36" width="6.1640625" style="1" bestFit="1" customWidth="1"/>
    <col min="37" max="16384" width="10.6640625" style="1"/>
  </cols>
  <sheetData>
    <row r="1" spans="1:18" x14ac:dyDescent="0.25">
      <c r="A1" s="2"/>
    </row>
    <row r="2" spans="1:18" x14ac:dyDescent="0.25">
      <c r="A2" s="2"/>
      <c r="B2" s="8" t="s">
        <v>0</v>
      </c>
      <c r="C2" s="9" t="s">
        <v>1</v>
      </c>
      <c r="D2" s="9" t="s">
        <v>3</v>
      </c>
      <c r="E2" s="10" t="s">
        <v>2</v>
      </c>
      <c r="G2" s="25" t="s">
        <v>265</v>
      </c>
      <c r="H2" s="24">
        <f>_xlfn.CEILING.MATH(I17)</f>
        <v>260</v>
      </c>
    </row>
    <row r="3" spans="1:18" x14ac:dyDescent="0.25">
      <c r="A3" s="2"/>
      <c r="B3" s="6" t="s">
        <v>4</v>
      </c>
      <c r="C3" s="2">
        <v>2</v>
      </c>
      <c r="D3" s="2">
        <v>15</v>
      </c>
      <c r="E3" s="4">
        <v>30</v>
      </c>
      <c r="G3" s="7" t="s">
        <v>266</v>
      </c>
      <c r="H3" s="5">
        <f>LCM(E3:E7)</f>
        <v>600</v>
      </c>
    </row>
    <row r="4" spans="1:18" x14ac:dyDescent="0.25">
      <c r="A4" s="2"/>
      <c r="B4" s="6" t="s">
        <v>5</v>
      </c>
      <c r="C4" s="2">
        <v>4</v>
      </c>
      <c r="D4" s="2">
        <v>20</v>
      </c>
      <c r="E4" s="4">
        <v>30</v>
      </c>
      <c r="G4" s="28" t="s">
        <v>269</v>
      </c>
      <c r="H4" s="29">
        <f>MIN(H2:H3)</f>
        <v>260</v>
      </c>
    </row>
    <row r="5" spans="1:18" x14ac:dyDescent="0.25">
      <c r="A5" s="2"/>
      <c r="B5" s="6" t="s">
        <v>6</v>
      </c>
      <c r="C5" s="2">
        <v>10</v>
      </c>
      <c r="D5" s="2">
        <v>35</v>
      </c>
      <c r="E5" s="4">
        <v>40</v>
      </c>
    </row>
    <row r="6" spans="1:18" x14ac:dyDescent="0.25">
      <c r="B6" s="6" t="s">
        <v>7</v>
      </c>
      <c r="C6" s="2">
        <v>21</v>
      </c>
      <c r="D6" s="2">
        <v>40</v>
      </c>
      <c r="E6" s="4">
        <v>50</v>
      </c>
    </row>
    <row r="7" spans="1:18" x14ac:dyDescent="0.25">
      <c r="B7" s="7" t="s">
        <v>8</v>
      </c>
      <c r="C7" s="3">
        <v>5</v>
      </c>
      <c r="D7" s="3">
        <v>50</v>
      </c>
      <c r="E7" s="5">
        <v>50</v>
      </c>
    </row>
    <row r="10" spans="1:18" x14ac:dyDescent="0.25">
      <c r="B10" s="30" t="s">
        <v>263</v>
      </c>
      <c r="C10" s="31"/>
      <c r="E10" s="26" t="s">
        <v>267</v>
      </c>
      <c r="F10" s="27"/>
      <c r="H10" s="26" t="s">
        <v>265</v>
      </c>
      <c r="I10" s="27"/>
      <c r="K10" s="35" t="s">
        <v>270</v>
      </c>
      <c r="L10" s="9">
        <v>0</v>
      </c>
      <c r="M10" s="9">
        <v>1</v>
      </c>
      <c r="N10" s="9">
        <v>2</v>
      </c>
      <c r="O10" s="9">
        <v>3</v>
      </c>
      <c r="P10" s="9">
        <v>4</v>
      </c>
      <c r="Q10" s="9">
        <v>5</v>
      </c>
      <c r="R10" s="10">
        <v>6</v>
      </c>
    </row>
    <row r="11" spans="1:18" x14ac:dyDescent="0.25">
      <c r="B11" s="6" t="s">
        <v>4</v>
      </c>
      <c r="C11" s="4">
        <f>C3/E3</f>
        <v>6.6666666666666666E-2</v>
      </c>
      <c r="E11" s="6" t="s">
        <v>4</v>
      </c>
      <c r="F11" s="4">
        <f>E3-D3</f>
        <v>15</v>
      </c>
      <c r="H11" s="25" t="s">
        <v>4</v>
      </c>
      <c r="I11" s="4">
        <f>F11*C11</f>
        <v>1</v>
      </c>
      <c r="K11" s="6" t="s">
        <v>4</v>
      </c>
      <c r="L11" s="2">
        <f>L$10*$E3+$D3</f>
        <v>15</v>
      </c>
      <c r="M11" s="2">
        <f t="shared" ref="M11:R11" si="0">M$10*$E3+$D3</f>
        <v>45</v>
      </c>
      <c r="N11" s="2">
        <f t="shared" si="0"/>
        <v>75</v>
      </c>
      <c r="O11" s="2">
        <f t="shared" si="0"/>
        <v>105</v>
      </c>
      <c r="P11" s="2">
        <f t="shared" si="0"/>
        <v>135</v>
      </c>
      <c r="Q11" s="2">
        <f t="shared" si="0"/>
        <v>165</v>
      </c>
      <c r="R11" s="4">
        <f t="shared" si="0"/>
        <v>195</v>
      </c>
    </row>
    <row r="12" spans="1:18" x14ac:dyDescent="0.25">
      <c r="B12" s="6" t="s">
        <v>5</v>
      </c>
      <c r="C12" s="4">
        <f t="shared" ref="C12:C15" si="1">C4/E4</f>
        <v>0.13333333333333333</v>
      </c>
      <c r="E12" s="6" t="s">
        <v>5</v>
      </c>
      <c r="F12" s="4">
        <f t="shared" ref="F12:F15" si="2">E4-D4</f>
        <v>10</v>
      </c>
      <c r="H12" s="6" t="s">
        <v>5</v>
      </c>
      <c r="I12" s="4">
        <f t="shared" ref="I12:I15" si="3">F12*C12</f>
        <v>1.3333333333333333</v>
      </c>
      <c r="K12" s="6" t="s">
        <v>5</v>
      </c>
      <c r="L12" s="2">
        <f t="shared" ref="L12:R12" si="4">L$10*$E4+$D4</f>
        <v>20</v>
      </c>
      <c r="M12" s="2">
        <f t="shared" si="4"/>
        <v>50</v>
      </c>
      <c r="N12" s="2">
        <f t="shared" si="4"/>
        <v>80</v>
      </c>
      <c r="O12" s="2">
        <f t="shared" si="4"/>
        <v>110</v>
      </c>
      <c r="P12" s="2">
        <f t="shared" si="4"/>
        <v>140</v>
      </c>
      <c r="Q12" s="2">
        <f t="shared" si="4"/>
        <v>170</v>
      </c>
      <c r="R12" s="4">
        <f t="shared" si="4"/>
        <v>200</v>
      </c>
    </row>
    <row r="13" spans="1:18" x14ac:dyDescent="0.25">
      <c r="B13" s="6" t="s">
        <v>6</v>
      </c>
      <c r="C13" s="4">
        <f t="shared" si="1"/>
        <v>0.25</v>
      </c>
      <c r="E13" s="6" t="s">
        <v>6</v>
      </c>
      <c r="F13" s="4">
        <f t="shared" si="2"/>
        <v>5</v>
      </c>
      <c r="H13" s="6" t="s">
        <v>6</v>
      </c>
      <c r="I13" s="4">
        <f t="shared" si="3"/>
        <v>1.25</v>
      </c>
      <c r="K13" s="6" t="s">
        <v>6</v>
      </c>
      <c r="L13" s="2">
        <f t="shared" ref="L13:R13" si="5">L$10*$E5+$D5</f>
        <v>35</v>
      </c>
      <c r="M13" s="2">
        <f t="shared" si="5"/>
        <v>75</v>
      </c>
      <c r="N13" s="2">
        <f t="shared" si="5"/>
        <v>115</v>
      </c>
      <c r="O13" s="2">
        <f t="shared" si="5"/>
        <v>155</v>
      </c>
      <c r="P13" s="2">
        <f t="shared" si="5"/>
        <v>195</v>
      </c>
      <c r="Q13" s="2">
        <f t="shared" si="5"/>
        <v>235</v>
      </c>
      <c r="R13" s="4">
        <f t="shared" si="5"/>
        <v>275</v>
      </c>
    </row>
    <row r="14" spans="1:18" x14ac:dyDescent="0.25">
      <c r="B14" s="6" t="s">
        <v>7</v>
      </c>
      <c r="C14" s="4">
        <f t="shared" si="1"/>
        <v>0.42</v>
      </c>
      <c r="E14" s="6" t="s">
        <v>7</v>
      </c>
      <c r="F14" s="4">
        <f t="shared" si="2"/>
        <v>10</v>
      </c>
      <c r="H14" s="6" t="s">
        <v>7</v>
      </c>
      <c r="I14" s="4">
        <f t="shared" si="3"/>
        <v>4.2</v>
      </c>
      <c r="K14" s="6" t="s">
        <v>7</v>
      </c>
      <c r="L14" s="2">
        <f t="shared" ref="L14:R14" si="6">L$10*$E6+$D6</f>
        <v>40</v>
      </c>
      <c r="M14" s="2">
        <f t="shared" si="6"/>
        <v>90</v>
      </c>
      <c r="N14" s="2">
        <f t="shared" si="6"/>
        <v>140</v>
      </c>
      <c r="O14" s="2">
        <f t="shared" si="6"/>
        <v>190</v>
      </c>
      <c r="P14" s="2">
        <f t="shared" si="6"/>
        <v>240</v>
      </c>
      <c r="Q14" s="2">
        <f t="shared" si="6"/>
        <v>290</v>
      </c>
      <c r="R14" s="4">
        <f t="shared" si="6"/>
        <v>340</v>
      </c>
    </row>
    <row r="15" spans="1:18" x14ac:dyDescent="0.25">
      <c r="B15" s="6" t="s">
        <v>8</v>
      </c>
      <c r="C15" s="4">
        <f t="shared" si="1"/>
        <v>0.1</v>
      </c>
      <c r="E15" s="7" t="s">
        <v>8</v>
      </c>
      <c r="F15" s="5">
        <f t="shared" si="2"/>
        <v>0</v>
      </c>
      <c r="H15" s="6" t="s">
        <v>8</v>
      </c>
      <c r="I15" s="4">
        <f t="shared" si="3"/>
        <v>0</v>
      </c>
      <c r="K15" s="7" t="s">
        <v>8</v>
      </c>
      <c r="L15" s="3">
        <f t="shared" ref="L15:R15" si="7">L$10*$E7+$D7</f>
        <v>50</v>
      </c>
      <c r="M15" s="3">
        <f t="shared" si="7"/>
        <v>100</v>
      </c>
      <c r="N15" s="3">
        <f t="shared" si="7"/>
        <v>150</v>
      </c>
      <c r="O15" s="3">
        <f t="shared" si="7"/>
        <v>200</v>
      </c>
      <c r="P15" s="3">
        <f t="shared" si="7"/>
        <v>250</v>
      </c>
      <c r="Q15" s="3">
        <f t="shared" si="7"/>
        <v>300</v>
      </c>
      <c r="R15" s="5">
        <f t="shared" si="7"/>
        <v>350</v>
      </c>
    </row>
    <row r="16" spans="1:18" x14ac:dyDescent="0.25">
      <c r="B16" s="8" t="s">
        <v>264</v>
      </c>
      <c r="C16" s="10">
        <f>SUM(C11:C15)</f>
        <v>0.97</v>
      </c>
      <c r="H16" s="28" t="s">
        <v>268</v>
      </c>
      <c r="I16" s="29">
        <f>SUM(I11:I15)</f>
        <v>7.7833333333333332</v>
      </c>
    </row>
    <row r="17" spans="2:36" x14ac:dyDescent="0.25">
      <c r="B17" s="2"/>
      <c r="H17" s="32" t="s">
        <v>265</v>
      </c>
      <c r="I17" s="33">
        <f>I16/(1-C16)</f>
        <v>259.44444444444423</v>
      </c>
      <c r="K17" s="8" t="s">
        <v>272</v>
      </c>
      <c r="L17" s="9">
        <v>15</v>
      </c>
      <c r="M17" s="9">
        <v>20</v>
      </c>
      <c r="N17" s="9">
        <v>35</v>
      </c>
      <c r="O17" s="9">
        <v>40</v>
      </c>
      <c r="P17" s="9">
        <v>45</v>
      </c>
      <c r="Q17" s="9">
        <v>50</v>
      </c>
      <c r="R17" s="9">
        <v>75</v>
      </c>
      <c r="S17" s="9">
        <v>80</v>
      </c>
      <c r="T17" s="9">
        <v>90</v>
      </c>
      <c r="U17" s="9">
        <v>100</v>
      </c>
      <c r="V17" s="9">
        <v>105</v>
      </c>
      <c r="W17" s="9">
        <v>110</v>
      </c>
      <c r="X17" s="9">
        <v>115</v>
      </c>
      <c r="Y17" s="9">
        <v>135</v>
      </c>
      <c r="Z17" s="9">
        <v>140</v>
      </c>
      <c r="AA17" s="9">
        <v>150</v>
      </c>
      <c r="AB17" s="9">
        <v>155</v>
      </c>
      <c r="AC17" s="9">
        <v>165</v>
      </c>
      <c r="AD17" s="9">
        <v>170</v>
      </c>
      <c r="AE17" s="9">
        <v>190</v>
      </c>
      <c r="AF17" s="9">
        <v>195</v>
      </c>
      <c r="AG17" s="9">
        <v>200</v>
      </c>
      <c r="AH17" s="9">
        <v>235</v>
      </c>
      <c r="AI17" s="9">
        <v>240</v>
      </c>
      <c r="AJ17" s="10">
        <v>250</v>
      </c>
    </row>
    <row r="18" spans="2:36" x14ac:dyDescent="0.25">
      <c r="K18" s="6" t="s">
        <v>4</v>
      </c>
      <c r="L18" s="2">
        <f>_xlfn.FLOOR.MATH((L$17+$F11)/$E3)*$C3</f>
        <v>2</v>
      </c>
      <c r="M18" s="2">
        <f>_xlfn.FLOOR.MATH((M$17+$F11)/$E3)*$C3</f>
        <v>2</v>
      </c>
      <c r="N18" s="2">
        <f>_xlfn.FLOOR.MATH((N$17+$F11)/$E3)*$C3</f>
        <v>2</v>
      </c>
      <c r="O18" s="2">
        <f t="shared" ref="M18:AI18" si="8">_xlfn.FLOOR.MATH((O$17+$F11)/$E3)*$C3</f>
        <v>2</v>
      </c>
      <c r="P18" s="2">
        <f t="shared" si="8"/>
        <v>4</v>
      </c>
      <c r="Q18" s="2">
        <f t="shared" si="8"/>
        <v>4</v>
      </c>
      <c r="R18" s="2">
        <f t="shared" si="8"/>
        <v>6</v>
      </c>
      <c r="S18" s="2">
        <f t="shared" si="8"/>
        <v>6</v>
      </c>
      <c r="T18" s="2">
        <f t="shared" si="8"/>
        <v>6</v>
      </c>
      <c r="U18" s="2">
        <f t="shared" si="8"/>
        <v>6</v>
      </c>
      <c r="V18" s="2">
        <f t="shared" si="8"/>
        <v>8</v>
      </c>
      <c r="W18" s="2">
        <f t="shared" si="8"/>
        <v>8</v>
      </c>
      <c r="X18" s="2">
        <f t="shared" si="8"/>
        <v>8</v>
      </c>
      <c r="Y18" s="2">
        <f t="shared" si="8"/>
        <v>10</v>
      </c>
      <c r="Z18" s="2">
        <f t="shared" si="8"/>
        <v>10</v>
      </c>
      <c r="AA18" s="2">
        <f t="shared" si="8"/>
        <v>10</v>
      </c>
      <c r="AB18" s="2">
        <f t="shared" si="8"/>
        <v>10</v>
      </c>
      <c r="AC18" s="2">
        <f t="shared" si="8"/>
        <v>12</v>
      </c>
      <c r="AD18" s="2">
        <f t="shared" si="8"/>
        <v>12</v>
      </c>
      <c r="AE18" s="2">
        <f t="shared" si="8"/>
        <v>12</v>
      </c>
      <c r="AF18" s="2">
        <f t="shared" si="8"/>
        <v>14</v>
      </c>
      <c r="AG18" s="2">
        <f t="shared" si="8"/>
        <v>14</v>
      </c>
      <c r="AH18" s="2">
        <f t="shared" si="8"/>
        <v>16</v>
      </c>
      <c r="AI18" s="2">
        <f t="shared" si="8"/>
        <v>16</v>
      </c>
      <c r="AJ18" s="4">
        <f>_xlfn.FLOOR.MATH((AJ$17+$F11)/$E3)*$C3</f>
        <v>16</v>
      </c>
    </row>
    <row r="19" spans="2:36" x14ac:dyDescent="0.25">
      <c r="K19" s="6" t="s">
        <v>5</v>
      </c>
      <c r="L19" s="2">
        <f t="shared" ref="L19:AJ19" si="9">_xlfn.FLOOR.MATH((L$17+$F12)/$E4)*$C4</f>
        <v>0</v>
      </c>
      <c r="M19" s="2">
        <f t="shared" si="9"/>
        <v>4</v>
      </c>
      <c r="N19" s="2">
        <f t="shared" si="9"/>
        <v>4</v>
      </c>
      <c r="O19" s="2">
        <f t="shared" si="9"/>
        <v>4</v>
      </c>
      <c r="P19" s="2">
        <f t="shared" si="9"/>
        <v>4</v>
      </c>
      <c r="Q19" s="2">
        <f t="shared" si="9"/>
        <v>8</v>
      </c>
      <c r="R19" s="2">
        <f t="shared" si="9"/>
        <v>8</v>
      </c>
      <c r="S19" s="2">
        <f t="shared" si="9"/>
        <v>12</v>
      </c>
      <c r="T19" s="2">
        <f t="shared" si="9"/>
        <v>12</v>
      </c>
      <c r="U19" s="2">
        <f t="shared" si="9"/>
        <v>12</v>
      </c>
      <c r="V19" s="2">
        <f t="shared" si="9"/>
        <v>12</v>
      </c>
      <c r="W19" s="2">
        <f t="shared" si="9"/>
        <v>16</v>
      </c>
      <c r="X19" s="2">
        <f t="shared" si="9"/>
        <v>16</v>
      </c>
      <c r="Y19" s="2">
        <f t="shared" si="9"/>
        <v>16</v>
      </c>
      <c r="Z19" s="2">
        <f t="shared" si="9"/>
        <v>20</v>
      </c>
      <c r="AA19" s="2">
        <f t="shared" si="9"/>
        <v>20</v>
      </c>
      <c r="AB19" s="2">
        <f t="shared" si="9"/>
        <v>20</v>
      </c>
      <c r="AC19" s="2">
        <f t="shared" si="9"/>
        <v>20</v>
      </c>
      <c r="AD19" s="2">
        <f t="shared" si="9"/>
        <v>24</v>
      </c>
      <c r="AE19" s="2">
        <f t="shared" si="9"/>
        <v>24</v>
      </c>
      <c r="AF19" s="2">
        <f t="shared" si="9"/>
        <v>24</v>
      </c>
      <c r="AG19" s="2">
        <f t="shared" si="9"/>
        <v>28</v>
      </c>
      <c r="AH19" s="2">
        <f t="shared" si="9"/>
        <v>32</v>
      </c>
      <c r="AI19" s="2">
        <f t="shared" si="9"/>
        <v>32</v>
      </c>
      <c r="AJ19" s="4">
        <f t="shared" si="9"/>
        <v>32</v>
      </c>
    </row>
    <row r="20" spans="2:36" x14ac:dyDescent="0.25">
      <c r="K20" s="6" t="s">
        <v>6</v>
      </c>
      <c r="L20" s="2">
        <f t="shared" ref="L20:AJ20" si="10">_xlfn.FLOOR.MATH((L$17+$F13)/$E5)*$C5</f>
        <v>0</v>
      </c>
      <c r="M20" s="2">
        <f t="shared" si="10"/>
        <v>0</v>
      </c>
      <c r="N20" s="2">
        <f t="shared" si="10"/>
        <v>10</v>
      </c>
      <c r="O20" s="2">
        <f t="shared" si="10"/>
        <v>10</v>
      </c>
      <c r="P20" s="2">
        <f t="shared" si="10"/>
        <v>10</v>
      </c>
      <c r="Q20" s="2">
        <f t="shared" si="10"/>
        <v>10</v>
      </c>
      <c r="R20" s="2">
        <f t="shared" si="10"/>
        <v>20</v>
      </c>
      <c r="S20" s="2">
        <f t="shared" si="10"/>
        <v>20</v>
      </c>
      <c r="T20" s="2">
        <f t="shared" si="10"/>
        <v>20</v>
      </c>
      <c r="U20" s="2">
        <f t="shared" si="10"/>
        <v>20</v>
      </c>
      <c r="V20" s="2">
        <f t="shared" si="10"/>
        <v>20</v>
      </c>
      <c r="W20" s="2">
        <f t="shared" si="10"/>
        <v>20</v>
      </c>
      <c r="X20" s="2">
        <f t="shared" si="10"/>
        <v>30</v>
      </c>
      <c r="Y20" s="2">
        <f t="shared" si="10"/>
        <v>30</v>
      </c>
      <c r="Z20" s="2">
        <f t="shared" si="10"/>
        <v>30</v>
      </c>
      <c r="AA20" s="2">
        <f t="shared" si="10"/>
        <v>30</v>
      </c>
      <c r="AB20" s="2">
        <f t="shared" si="10"/>
        <v>40</v>
      </c>
      <c r="AC20" s="2">
        <f t="shared" si="10"/>
        <v>40</v>
      </c>
      <c r="AD20" s="2">
        <f t="shared" si="10"/>
        <v>40</v>
      </c>
      <c r="AE20" s="2">
        <f t="shared" si="10"/>
        <v>40</v>
      </c>
      <c r="AF20" s="2">
        <f t="shared" si="10"/>
        <v>50</v>
      </c>
      <c r="AG20" s="2">
        <f t="shared" si="10"/>
        <v>50</v>
      </c>
      <c r="AH20" s="2">
        <f t="shared" si="10"/>
        <v>60</v>
      </c>
      <c r="AI20" s="2">
        <f t="shared" si="10"/>
        <v>60</v>
      </c>
      <c r="AJ20" s="4">
        <f t="shared" si="10"/>
        <v>60</v>
      </c>
    </row>
    <row r="21" spans="2:36" x14ac:dyDescent="0.25">
      <c r="K21" s="6" t="s">
        <v>7</v>
      </c>
      <c r="L21" s="2">
        <f t="shared" ref="L21:AJ21" si="11">_xlfn.FLOOR.MATH((L$17+$F14)/$E6)*$C6</f>
        <v>0</v>
      </c>
      <c r="M21" s="2">
        <f t="shared" si="11"/>
        <v>0</v>
      </c>
      <c r="N21" s="2">
        <f t="shared" si="11"/>
        <v>0</v>
      </c>
      <c r="O21" s="2">
        <f t="shared" si="11"/>
        <v>21</v>
      </c>
      <c r="P21" s="2">
        <f t="shared" si="11"/>
        <v>21</v>
      </c>
      <c r="Q21" s="2">
        <f t="shared" si="11"/>
        <v>21</v>
      </c>
      <c r="R21" s="2">
        <f t="shared" si="11"/>
        <v>21</v>
      </c>
      <c r="S21" s="2">
        <f t="shared" si="11"/>
        <v>21</v>
      </c>
      <c r="T21" s="2">
        <f t="shared" si="11"/>
        <v>42</v>
      </c>
      <c r="U21" s="2">
        <f t="shared" si="11"/>
        <v>42</v>
      </c>
      <c r="V21" s="2">
        <f t="shared" si="11"/>
        <v>42</v>
      </c>
      <c r="W21" s="2">
        <f t="shared" si="11"/>
        <v>42</v>
      </c>
      <c r="X21" s="2">
        <f t="shared" si="11"/>
        <v>42</v>
      </c>
      <c r="Y21" s="2">
        <f t="shared" si="11"/>
        <v>42</v>
      </c>
      <c r="Z21" s="2">
        <f t="shared" si="11"/>
        <v>63</v>
      </c>
      <c r="AA21" s="2">
        <f t="shared" si="11"/>
        <v>63</v>
      </c>
      <c r="AB21" s="2">
        <f t="shared" si="11"/>
        <v>63</v>
      </c>
      <c r="AC21" s="2">
        <f t="shared" si="11"/>
        <v>63</v>
      </c>
      <c r="AD21" s="2">
        <f t="shared" si="11"/>
        <v>63</v>
      </c>
      <c r="AE21" s="2">
        <f t="shared" si="11"/>
        <v>84</v>
      </c>
      <c r="AF21" s="2">
        <f t="shared" si="11"/>
        <v>84</v>
      </c>
      <c r="AG21" s="2">
        <f t="shared" si="11"/>
        <v>84</v>
      </c>
      <c r="AH21" s="2">
        <f t="shared" si="11"/>
        <v>84</v>
      </c>
      <c r="AI21" s="2">
        <f t="shared" si="11"/>
        <v>105</v>
      </c>
      <c r="AJ21" s="4">
        <f>_xlfn.FLOOR.MATH((AJ$17+$F14)/$E6)*$C6</f>
        <v>105</v>
      </c>
    </row>
    <row r="22" spans="2:36" x14ac:dyDescent="0.25">
      <c r="K22" s="6" t="s">
        <v>8</v>
      </c>
      <c r="L22" s="2">
        <f t="shared" ref="L22:AJ22" si="12">_xlfn.FLOOR.MATH((L$17+$F15)/$E7)*$C7</f>
        <v>0</v>
      </c>
      <c r="M22" s="2">
        <f t="shared" si="12"/>
        <v>0</v>
      </c>
      <c r="N22" s="2">
        <f t="shared" si="12"/>
        <v>0</v>
      </c>
      <c r="O22" s="2">
        <f t="shared" si="12"/>
        <v>0</v>
      </c>
      <c r="P22" s="2">
        <f t="shared" si="12"/>
        <v>0</v>
      </c>
      <c r="Q22" s="2">
        <f t="shared" si="12"/>
        <v>5</v>
      </c>
      <c r="R22" s="2">
        <f t="shared" si="12"/>
        <v>5</v>
      </c>
      <c r="S22" s="2">
        <f t="shared" si="12"/>
        <v>5</v>
      </c>
      <c r="T22" s="2">
        <f t="shared" si="12"/>
        <v>5</v>
      </c>
      <c r="U22" s="2">
        <f t="shared" si="12"/>
        <v>10</v>
      </c>
      <c r="V22" s="2">
        <f t="shared" si="12"/>
        <v>10</v>
      </c>
      <c r="W22" s="2">
        <f t="shared" si="12"/>
        <v>10</v>
      </c>
      <c r="X22" s="2">
        <f t="shared" si="12"/>
        <v>10</v>
      </c>
      <c r="Y22" s="2">
        <f t="shared" si="12"/>
        <v>10</v>
      </c>
      <c r="Z22" s="2">
        <f t="shared" si="12"/>
        <v>10</v>
      </c>
      <c r="AA22" s="2">
        <f t="shared" si="12"/>
        <v>15</v>
      </c>
      <c r="AB22" s="2">
        <f t="shared" si="12"/>
        <v>15</v>
      </c>
      <c r="AC22" s="2">
        <f t="shared" si="12"/>
        <v>15</v>
      </c>
      <c r="AD22" s="2">
        <f t="shared" si="12"/>
        <v>15</v>
      </c>
      <c r="AE22" s="2">
        <f t="shared" si="12"/>
        <v>15</v>
      </c>
      <c r="AF22" s="2">
        <f t="shared" si="12"/>
        <v>15</v>
      </c>
      <c r="AG22" s="2">
        <f t="shared" si="12"/>
        <v>20</v>
      </c>
      <c r="AH22" s="2">
        <f t="shared" si="12"/>
        <v>20</v>
      </c>
      <c r="AI22" s="2">
        <f t="shared" si="12"/>
        <v>20</v>
      </c>
      <c r="AJ22" s="4">
        <f t="shared" si="12"/>
        <v>25</v>
      </c>
    </row>
    <row r="23" spans="2:36" x14ac:dyDescent="0.25">
      <c r="K23" s="28" t="s">
        <v>271</v>
      </c>
      <c r="L23" s="34">
        <f>SUM(L$18:L$22)</f>
        <v>2</v>
      </c>
      <c r="M23" s="34">
        <f t="shared" ref="M23:AJ23" si="13">SUM(M$18:M$22)</f>
        <v>6</v>
      </c>
      <c r="N23" s="34">
        <f t="shared" si="13"/>
        <v>16</v>
      </c>
      <c r="O23" s="34">
        <f t="shared" si="13"/>
        <v>37</v>
      </c>
      <c r="P23" s="34">
        <f t="shared" si="13"/>
        <v>39</v>
      </c>
      <c r="Q23" s="34">
        <f t="shared" si="13"/>
        <v>48</v>
      </c>
      <c r="R23" s="34">
        <f t="shared" si="13"/>
        <v>60</v>
      </c>
      <c r="S23" s="34">
        <f t="shared" si="13"/>
        <v>64</v>
      </c>
      <c r="T23" s="34">
        <f t="shared" si="13"/>
        <v>85</v>
      </c>
      <c r="U23" s="34">
        <f t="shared" si="13"/>
        <v>90</v>
      </c>
      <c r="V23" s="34">
        <f t="shared" si="13"/>
        <v>92</v>
      </c>
      <c r="W23" s="34">
        <f t="shared" si="13"/>
        <v>96</v>
      </c>
      <c r="X23" s="34">
        <f t="shared" si="13"/>
        <v>106</v>
      </c>
      <c r="Y23" s="34">
        <f t="shared" si="13"/>
        <v>108</v>
      </c>
      <c r="Z23" s="34">
        <f t="shared" si="13"/>
        <v>133</v>
      </c>
      <c r="AA23" s="34">
        <f t="shared" si="13"/>
        <v>138</v>
      </c>
      <c r="AB23" s="34">
        <f t="shared" si="13"/>
        <v>148</v>
      </c>
      <c r="AC23" s="34">
        <f t="shared" si="13"/>
        <v>150</v>
      </c>
      <c r="AD23" s="34">
        <f t="shared" si="13"/>
        <v>154</v>
      </c>
      <c r="AE23" s="34">
        <f t="shared" si="13"/>
        <v>175</v>
      </c>
      <c r="AF23" s="34">
        <f t="shared" si="13"/>
        <v>187</v>
      </c>
      <c r="AG23" s="34">
        <f t="shared" si="13"/>
        <v>196</v>
      </c>
      <c r="AH23" s="34">
        <f t="shared" si="13"/>
        <v>212</v>
      </c>
      <c r="AI23" s="34">
        <f t="shared" si="13"/>
        <v>233</v>
      </c>
      <c r="AJ23" s="29">
        <f t="shared" si="13"/>
        <v>238</v>
      </c>
    </row>
    <row r="24" spans="2:36" x14ac:dyDescent="0.25">
      <c r="K24" s="7" t="s">
        <v>273</v>
      </c>
      <c r="L24" s="3" t="b">
        <f>L23&lt;L17</f>
        <v>1</v>
      </c>
      <c r="M24" s="3" t="b">
        <f t="shared" ref="M24:AJ24" si="14">M23&lt;M17</f>
        <v>1</v>
      </c>
      <c r="N24" s="3" t="b">
        <f t="shared" si="14"/>
        <v>1</v>
      </c>
      <c r="O24" s="3" t="b">
        <f t="shared" si="14"/>
        <v>1</v>
      </c>
      <c r="P24" s="3" t="b">
        <f t="shared" si="14"/>
        <v>1</v>
      </c>
      <c r="Q24" s="3" t="b">
        <f t="shared" si="14"/>
        <v>1</v>
      </c>
      <c r="R24" s="3" t="b">
        <f t="shared" si="14"/>
        <v>1</v>
      </c>
      <c r="S24" s="3" t="b">
        <f t="shared" si="14"/>
        <v>1</v>
      </c>
      <c r="T24" s="3" t="b">
        <f t="shared" si="14"/>
        <v>1</v>
      </c>
      <c r="U24" s="3" t="b">
        <f t="shared" si="14"/>
        <v>1</v>
      </c>
      <c r="V24" s="3" t="b">
        <f t="shared" si="14"/>
        <v>1</v>
      </c>
      <c r="W24" s="3" t="b">
        <f t="shared" si="14"/>
        <v>1</v>
      </c>
      <c r="X24" s="3" t="b">
        <f t="shared" si="14"/>
        <v>1</v>
      </c>
      <c r="Y24" s="3" t="b">
        <f t="shared" si="14"/>
        <v>1</v>
      </c>
      <c r="Z24" s="3" t="b">
        <f t="shared" si="14"/>
        <v>1</v>
      </c>
      <c r="AA24" s="3" t="b">
        <f t="shared" si="14"/>
        <v>1</v>
      </c>
      <c r="AB24" s="3" t="b">
        <f t="shared" si="14"/>
        <v>1</v>
      </c>
      <c r="AC24" s="3" t="b">
        <f t="shared" si="14"/>
        <v>1</v>
      </c>
      <c r="AD24" s="3" t="b">
        <f t="shared" si="14"/>
        <v>1</v>
      </c>
      <c r="AE24" s="3" t="b">
        <f t="shared" si="14"/>
        <v>1</v>
      </c>
      <c r="AF24" s="3" t="b">
        <f t="shared" si="14"/>
        <v>1</v>
      </c>
      <c r="AG24" s="3" t="b">
        <f t="shared" si="14"/>
        <v>1</v>
      </c>
      <c r="AH24" s="3" t="b">
        <f t="shared" si="14"/>
        <v>1</v>
      </c>
      <c r="AI24" s="3" t="b">
        <f t="shared" si="14"/>
        <v>1</v>
      </c>
      <c r="AJ24" s="5" t="b">
        <f t="shared" si="14"/>
        <v>1</v>
      </c>
    </row>
    <row r="27" spans="2:36" x14ac:dyDescent="0.25">
      <c r="B27" s="2"/>
    </row>
    <row r="28" spans="2:36" x14ac:dyDescent="0.25">
      <c r="B28" s="2"/>
    </row>
    <row r="29" spans="2:36" x14ac:dyDescent="0.25">
      <c r="B29" s="2"/>
    </row>
    <row r="30" spans="2:36" x14ac:dyDescent="0.25">
      <c r="B30" s="2"/>
    </row>
    <row r="31" spans="2:36" x14ac:dyDescent="0.25">
      <c r="B31" s="2"/>
    </row>
    <row r="32" spans="2:36" x14ac:dyDescent="0.25">
      <c r="B32" s="2"/>
    </row>
    <row r="33" spans="2:2" x14ac:dyDescent="0.25">
      <c r="B33" s="2"/>
    </row>
    <row r="34" spans="2:2" x14ac:dyDescent="0.25">
      <c r="B34" s="2"/>
    </row>
    <row r="35" spans="2:2" x14ac:dyDescent="0.25">
      <c r="B35" s="2"/>
    </row>
    <row r="36" spans="2:2" x14ac:dyDescent="0.25">
      <c r="B36" s="2"/>
    </row>
    <row r="37" spans="2:2" x14ac:dyDescent="0.25">
      <c r="B37" s="2"/>
    </row>
    <row r="38" spans="2:2" x14ac:dyDescent="0.25">
      <c r="B38" s="2"/>
    </row>
    <row r="39" spans="2:2" x14ac:dyDescent="0.25">
      <c r="B39" s="2"/>
    </row>
    <row r="40" spans="2:2" x14ac:dyDescent="0.25">
      <c r="B40" s="2"/>
    </row>
    <row r="41" spans="2:2" x14ac:dyDescent="0.25">
      <c r="B41" s="2"/>
    </row>
    <row r="42" spans="2:2" x14ac:dyDescent="0.25">
      <c r="B42" s="2"/>
    </row>
    <row r="43" spans="2:2" x14ac:dyDescent="0.25">
      <c r="B43" s="2"/>
    </row>
    <row r="44" spans="2:2" x14ac:dyDescent="0.25">
      <c r="B44" s="2"/>
    </row>
  </sheetData>
  <sortState xmlns:xlrd2="http://schemas.microsoft.com/office/spreadsheetml/2017/richdata2" ref="B20:B44">
    <sortCondition ref="B20:B44"/>
  </sortState>
  <mergeCells count="3">
    <mergeCell ref="B10:C10"/>
    <mergeCell ref="E10:F10"/>
    <mergeCell ref="H10:I10"/>
  </mergeCells>
  <phoneticPr fontId="2" type="noConversion"/>
  <conditionalFormatting sqref="L11:R15 B41:B44 B27:B36">
    <cfRule type="cellIs" dxfId="4" priority="10" stopIfTrue="1" operator="greaterThan">
      <formula>$H$4</formula>
    </cfRule>
  </conditionalFormatting>
  <conditionalFormatting sqref="B37:B40">
    <cfRule type="cellIs" dxfId="3" priority="6" operator="greaterThan">
      <formula>$H$4</formula>
    </cfRule>
  </conditionalFormatting>
  <conditionalFormatting sqref="AG17:AJ17 R17:AB17">
    <cfRule type="cellIs" dxfId="2" priority="3" operator="greaterThan">
      <formula>$H$4</formula>
    </cfRule>
  </conditionalFormatting>
  <conditionalFormatting sqref="L17:Q17">
    <cfRule type="cellIs" dxfId="1" priority="2" operator="greaterThan">
      <formula>$H$4</formula>
    </cfRule>
  </conditionalFormatting>
  <conditionalFormatting sqref="AC17:AF17">
    <cfRule type="cellIs" dxfId="0" priority="1" operator="greaterThan">
      <formula>$H$4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0E070B-9DD5-344C-BCBE-4963A2FE673C}">
  <dimension ref="A1:IQ19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9" sqref="B9"/>
    </sheetView>
  </sheetViews>
  <sheetFormatPr baseColWidth="10" defaultRowHeight="19" x14ac:dyDescent="0.25"/>
  <cols>
    <col min="1" max="1" width="11.33203125" style="12" bestFit="1" customWidth="1"/>
    <col min="2" max="10" width="5.1640625" style="2" bestFit="1" customWidth="1"/>
    <col min="11" max="100" width="6.33203125" style="2" bestFit="1" customWidth="1"/>
    <col min="101" max="250" width="7.5" style="2" bestFit="1" customWidth="1"/>
    <col min="251" max="251" width="7.5" style="17" bestFit="1" customWidth="1"/>
    <col min="252" max="16384" width="10.83203125" style="1"/>
  </cols>
  <sheetData>
    <row r="1" spans="1:251" s="11" customFormat="1" ht="20" thickBot="1" x14ac:dyDescent="0.3">
      <c r="A1" s="13" t="s">
        <v>261</v>
      </c>
      <c r="B1" s="11" t="s">
        <v>9</v>
      </c>
      <c r="C1" s="11" t="s">
        <v>10</v>
      </c>
      <c r="D1" s="11" t="s">
        <v>11</v>
      </c>
      <c r="E1" s="11" t="s">
        <v>12</v>
      </c>
      <c r="F1" s="11" t="s">
        <v>13</v>
      </c>
      <c r="G1" s="11" t="s">
        <v>14</v>
      </c>
      <c r="H1" s="11" t="s">
        <v>15</v>
      </c>
      <c r="I1" s="11" t="s">
        <v>16</v>
      </c>
      <c r="J1" s="11" t="s">
        <v>17</v>
      </c>
      <c r="K1" s="11" t="s">
        <v>18</v>
      </c>
      <c r="L1" s="11" t="s">
        <v>19</v>
      </c>
      <c r="M1" s="11" t="s">
        <v>20</v>
      </c>
      <c r="N1" s="11" t="s">
        <v>21</v>
      </c>
      <c r="O1" s="11" t="s">
        <v>22</v>
      </c>
      <c r="P1" s="11" t="s">
        <v>23</v>
      </c>
      <c r="Q1" s="11" t="s">
        <v>24</v>
      </c>
      <c r="R1" s="11" t="s">
        <v>25</v>
      </c>
      <c r="S1" s="11" t="s">
        <v>26</v>
      </c>
      <c r="T1" s="11" t="s">
        <v>27</v>
      </c>
      <c r="U1" s="11" t="s">
        <v>28</v>
      </c>
      <c r="V1" s="11" t="s">
        <v>29</v>
      </c>
      <c r="W1" s="11" t="s">
        <v>30</v>
      </c>
      <c r="X1" s="11" t="s">
        <v>31</v>
      </c>
      <c r="Y1" s="11" t="s">
        <v>32</v>
      </c>
      <c r="Z1" s="11" t="s">
        <v>33</v>
      </c>
      <c r="AA1" s="11" t="s">
        <v>34</v>
      </c>
      <c r="AB1" s="11" t="s">
        <v>35</v>
      </c>
      <c r="AC1" s="11" t="s">
        <v>36</v>
      </c>
      <c r="AD1" s="11" t="s">
        <v>37</v>
      </c>
      <c r="AE1" s="11" t="s">
        <v>38</v>
      </c>
      <c r="AF1" s="11" t="s">
        <v>39</v>
      </c>
      <c r="AG1" s="11" t="s">
        <v>40</v>
      </c>
      <c r="AH1" s="11" t="s">
        <v>41</v>
      </c>
      <c r="AI1" s="11" t="s">
        <v>42</v>
      </c>
      <c r="AJ1" s="11" t="s">
        <v>43</v>
      </c>
      <c r="AK1" s="11" t="s">
        <v>44</v>
      </c>
      <c r="AL1" s="11" t="s">
        <v>45</v>
      </c>
      <c r="AM1" s="11" t="s">
        <v>46</v>
      </c>
      <c r="AN1" s="11" t="s">
        <v>47</v>
      </c>
      <c r="AO1" s="11" t="s">
        <v>48</v>
      </c>
      <c r="AP1" s="11" t="s">
        <v>49</v>
      </c>
      <c r="AQ1" s="11" t="s">
        <v>50</v>
      </c>
      <c r="AR1" s="11" t="s">
        <v>51</v>
      </c>
      <c r="AS1" s="11" t="s">
        <v>52</v>
      </c>
      <c r="AT1" s="11" t="s">
        <v>53</v>
      </c>
      <c r="AU1" s="11" t="s">
        <v>54</v>
      </c>
      <c r="AV1" s="11" t="s">
        <v>55</v>
      </c>
      <c r="AW1" s="11" t="s">
        <v>56</v>
      </c>
      <c r="AX1" s="11" t="s">
        <v>57</v>
      </c>
      <c r="AY1" s="11" t="s">
        <v>58</v>
      </c>
      <c r="AZ1" s="11" t="s">
        <v>61</v>
      </c>
      <c r="BA1" s="11" t="s">
        <v>62</v>
      </c>
      <c r="BB1" s="11" t="s">
        <v>63</v>
      </c>
      <c r="BC1" s="11" t="s">
        <v>64</v>
      </c>
      <c r="BD1" s="11" t="s">
        <v>65</v>
      </c>
      <c r="BE1" s="11" t="s">
        <v>66</v>
      </c>
      <c r="BF1" s="11" t="s">
        <v>67</v>
      </c>
      <c r="BG1" s="11" t="s">
        <v>68</v>
      </c>
      <c r="BH1" s="11" t="s">
        <v>69</v>
      </c>
      <c r="BI1" s="11" t="s">
        <v>70</v>
      </c>
      <c r="BJ1" s="11" t="s">
        <v>71</v>
      </c>
      <c r="BK1" s="11" t="s">
        <v>72</v>
      </c>
      <c r="BL1" s="11" t="s">
        <v>73</v>
      </c>
      <c r="BM1" s="11" t="s">
        <v>74</v>
      </c>
      <c r="BN1" s="11" t="s">
        <v>75</v>
      </c>
      <c r="BO1" s="11" t="s">
        <v>76</v>
      </c>
      <c r="BP1" s="11" t="s">
        <v>77</v>
      </c>
      <c r="BQ1" s="11" t="s">
        <v>78</v>
      </c>
      <c r="BR1" s="11" t="s">
        <v>79</v>
      </c>
      <c r="BS1" s="11" t="s">
        <v>80</v>
      </c>
      <c r="BT1" s="11" t="s">
        <v>81</v>
      </c>
      <c r="BU1" s="11" t="s">
        <v>82</v>
      </c>
      <c r="BV1" s="11" t="s">
        <v>83</v>
      </c>
      <c r="BW1" s="11" t="s">
        <v>84</v>
      </c>
      <c r="BX1" s="11" t="s">
        <v>85</v>
      </c>
      <c r="BY1" s="11" t="s">
        <v>86</v>
      </c>
      <c r="BZ1" s="11" t="s">
        <v>87</v>
      </c>
      <c r="CA1" s="11" t="s">
        <v>88</v>
      </c>
      <c r="CB1" s="11" t="s">
        <v>89</v>
      </c>
      <c r="CC1" s="11" t="s">
        <v>90</v>
      </c>
      <c r="CD1" s="11" t="s">
        <v>91</v>
      </c>
      <c r="CE1" s="11" t="s">
        <v>92</v>
      </c>
      <c r="CF1" s="11" t="s">
        <v>93</v>
      </c>
      <c r="CG1" s="11" t="s">
        <v>94</v>
      </c>
      <c r="CH1" s="11" t="s">
        <v>95</v>
      </c>
      <c r="CI1" s="11" t="s">
        <v>96</v>
      </c>
      <c r="CJ1" s="11" t="s">
        <v>97</v>
      </c>
      <c r="CK1" s="11" t="s">
        <v>98</v>
      </c>
      <c r="CL1" s="11" t="s">
        <v>99</v>
      </c>
      <c r="CM1" s="11" t="s">
        <v>100</v>
      </c>
      <c r="CN1" s="11" t="s">
        <v>101</v>
      </c>
      <c r="CO1" s="11" t="s">
        <v>102</v>
      </c>
      <c r="CP1" s="11" t="s">
        <v>103</v>
      </c>
      <c r="CQ1" s="11" t="s">
        <v>104</v>
      </c>
      <c r="CR1" s="11" t="s">
        <v>105</v>
      </c>
      <c r="CS1" s="11" t="s">
        <v>106</v>
      </c>
      <c r="CT1" s="11" t="s">
        <v>107</v>
      </c>
      <c r="CU1" s="11" t="s">
        <v>108</v>
      </c>
      <c r="CV1" s="11" t="s">
        <v>109</v>
      </c>
      <c r="CW1" s="11" t="s">
        <v>110</v>
      </c>
      <c r="CX1" s="11" t="s">
        <v>111</v>
      </c>
      <c r="CY1" s="11" t="s">
        <v>112</v>
      </c>
      <c r="CZ1" s="11" t="s">
        <v>113</v>
      </c>
      <c r="DA1" s="11" t="s">
        <v>114</v>
      </c>
      <c r="DB1" s="11" t="s">
        <v>115</v>
      </c>
      <c r="DC1" s="11" t="s">
        <v>116</v>
      </c>
      <c r="DD1" s="11" t="s">
        <v>117</v>
      </c>
      <c r="DE1" s="11" t="s">
        <v>118</v>
      </c>
      <c r="DF1" s="11" t="s">
        <v>119</v>
      </c>
      <c r="DG1" s="11" t="s">
        <v>120</v>
      </c>
      <c r="DH1" s="11" t="s">
        <v>121</v>
      </c>
      <c r="DI1" s="11" t="s">
        <v>122</v>
      </c>
      <c r="DJ1" s="11" t="s">
        <v>123</v>
      </c>
      <c r="DK1" s="11" t="s">
        <v>124</v>
      </c>
      <c r="DL1" s="11" t="s">
        <v>125</v>
      </c>
      <c r="DM1" s="11" t="s">
        <v>126</v>
      </c>
      <c r="DN1" s="11" t="s">
        <v>127</v>
      </c>
      <c r="DO1" s="11" t="s">
        <v>128</v>
      </c>
      <c r="DP1" s="11" t="s">
        <v>129</v>
      </c>
      <c r="DQ1" s="11" t="s">
        <v>130</v>
      </c>
      <c r="DR1" s="11" t="s">
        <v>131</v>
      </c>
      <c r="DS1" s="11" t="s">
        <v>132</v>
      </c>
      <c r="DT1" s="11" t="s">
        <v>133</v>
      </c>
      <c r="DU1" s="11" t="s">
        <v>134</v>
      </c>
      <c r="DV1" s="11" t="s">
        <v>135</v>
      </c>
      <c r="DW1" s="11" t="s">
        <v>136</v>
      </c>
      <c r="DX1" s="11" t="s">
        <v>137</v>
      </c>
      <c r="DY1" s="11" t="s">
        <v>138</v>
      </c>
      <c r="DZ1" s="11" t="s">
        <v>139</v>
      </c>
      <c r="EA1" s="11" t="s">
        <v>140</v>
      </c>
      <c r="EB1" s="11" t="s">
        <v>141</v>
      </c>
      <c r="EC1" s="11" t="s">
        <v>142</v>
      </c>
      <c r="ED1" s="11" t="s">
        <v>143</v>
      </c>
      <c r="EE1" s="11" t="s">
        <v>144</v>
      </c>
      <c r="EF1" s="11" t="s">
        <v>145</v>
      </c>
      <c r="EG1" s="11" t="s">
        <v>146</v>
      </c>
      <c r="EH1" s="11" t="s">
        <v>147</v>
      </c>
      <c r="EI1" s="11" t="s">
        <v>148</v>
      </c>
      <c r="EJ1" s="11" t="s">
        <v>149</v>
      </c>
      <c r="EK1" s="11" t="s">
        <v>150</v>
      </c>
      <c r="EL1" s="11" t="s">
        <v>151</v>
      </c>
      <c r="EM1" s="11" t="s">
        <v>152</v>
      </c>
      <c r="EN1" s="11" t="s">
        <v>153</v>
      </c>
      <c r="EO1" s="11" t="s">
        <v>154</v>
      </c>
      <c r="EP1" s="11" t="s">
        <v>155</v>
      </c>
      <c r="EQ1" s="11" t="s">
        <v>156</v>
      </c>
      <c r="ER1" s="11" t="s">
        <v>157</v>
      </c>
      <c r="ES1" s="11" t="s">
        <v>158</v>
      </c>
      <c r="ET1" s="11" t="s">
        <v>159</v>
      </c>
      <c r="EU1" s="11" t="s">
        <v>160</v>
      </c>
      <c r="EV1" s="11" t="s">
        <v>161</v>
      </c>
      <c r="EW1" s="11" t="s">
        <v>162</v>
      </c>
      <c r="EX1" s="11" t="s">
        <v>163</v>
      </c>
      <c r="EY1" s="11" t="s">
        <v>164</v>
      </c>
      <c r="EZ1" s="11" t="s">
        <v>165</v>
      </c>
      <c r="FA1" s="11" t="s">
        <v>166</v>
      </c>
      <c r="FB1" s="11" t="s">
        <v>167</v>
      </c>
      <c r="FC1" s="11" t="s">
        <v>168</v>
      </c>
      <c r="FD1" s="11" t="s">
        <v>169</v>
      </c>
      <c r="FE1" s="11" t="s">
        <v>170</v>
      </c>
      <c r="FF1" s="11" t="s">
        <v>171</v>
      </c>
      <c r="FG1" s="11" t="s">
        <v>172</v>
      </c>
      <c r="FH1" s="11" t="s">
        <v>173</v>
      </c>
      <c r="FI1" s="11" t="s">
        <v>174</v>
      </c>
      <c r="FJ1" s="11" t="s">
        <v>175</v>
      </c>
      <c r="FK1" s="11" t="s">
        <v>176</v>
      </c>
      <c r="FL1" s="11" t="s">
        <v>177</v>
      </c>
      <c r="FM1" s="11" t="s">
        <v>178</v>
      </c>
      <c r="FN1" s="11" t="s">
        <v>179</v>
      </c>
      <c r="FO1" s="11" t="s">
        <v>180</v>
      </c>
      <c r="FP1" s="11" t="s">
        <v>181</v>
      </c>
      <c r="FQ1" s="11" t="s">
        <v>182</v>
      </c>
      <c r="FR1" s="11" t="s">
        <v>183</v>
      </c>
      <c r="FS1" s="11" t="s">
        <v>184</v>
      </c>
      <c r="FT1" s="11" t="s">
        <v>185</v>
      </c>
      <c r="FU1" s="11" t="s">
        <v>186</v>
      </c>
      <c r="FV1" s="11" t="s">
        <v>187</v>
      </c>
      <c r="FW1" s="11" t="s">
        <v>188</v>
      </c>
      <c r="FX1" s="11" t="s">
        <v>189</v>
      </c>
      <c r="FY1" s="11" t="s">
        <v>190</v>
      </c>
      <c r="FZ1" s="11" t="s">
        <v>191</v>
      </c>
      <c r="GA1" s="11" t="s">
        <v>192</v>
      </c>
      <c r="GB1" s="11" t="s">
        <v>193</v>
      </c>
      <c r="GC1" s="11" t="s">
        <v>194</v>
      </c>
      <c r="GD1" s="11" t="s">
        <v>195</v>
      </c>
      <c r="GE1" s="11" t="s">
        <v>196</v>
      </c>
      <c r="GF1" s="11" t="s">
        <v>197</v>
      </c>
      <c r="GG1" s="11" t="s">
        <v>198</v>
      </c>
      <c r="GH1" s="11" t="s">
        <v>199</v>
      </c>
      <c r="GI1" s="11" t="s">
        <v>200</v>
      </c>
      <c r="GJ1" s="11" t="s">
        <v>201</v>
      </c>
      <c r="GK1" s="11" t="s">
        <v>202</v>
      </c>
      <c r="GL1" s="11" t="s">
        <v>203</v>
      </c>
      <c r="GM1" s="11" t="s">
        <v>204</v>
      </c>
      <c r="GN1" s="11" t="s">
        <v>205</v>
      </c>
      <c r="GO1" s="11" t="s">
        <v>206</v>
      </c>
      <c r="GP1" s="11" t="s">
        <v>207</v>
      </c>
      <c r="GQ1" s="11" t="s">
        <v>208</v>
      </c>
      <c r="GR1" s="11" t="s">
        <v>209</v>
      </c>
      <c r="GS1" s="11" t="s">
        <v>210</v>
      </c>
      <c r="GT1" s="11" t="s">
        <v>211</v>
      </c>
      <c r="GU1" s="11" t="s">
        <v>212</v>
      </c>
      <c r="GV1" s="11" t="s">
        <v>213</v>
      </c>
      <c r="GW1" s="11" t="s">
        <v>214</v>
      </c>
      <c r="GX1" s="11" t="s">
        <v>215</v>
      </c>
      <c r="GY1" s="11" t="s">
        <v>216</v>
      </c>
      <c r="GZ1" s="11" t="s">
        <v>217</v>
      </c>
      <c r="HA1" s="11" t="s">
        <v>218</v>
      </c>
      <c r="HB1" s="11" t="s">
        <v>219</v>
      </c>
      <c r="HC1" s="11" t="s">
        <v>220</v>
      </c>
      <c r="HD1" s="11" t="s">
        <v>221</v>
      </c>
      <c r="HE1" s="11" t="s">
        <v>222</v>
      </c>
      <c r="HF1" s="11" t="s">
        <v>223</v>
      </c>
      <c r="HG1" s="11" t="s">
        <v>224</v>
      </c>
      <c r="HH1" s="11" t="s">
        <v>225</v>
      </c>
      <c r="HI1" s="11" t="s">
        <v>226</v>
      </c>
      <c r="HJ1" s="11" t="s">
        <v>227</v>
      </c>
      <c r="HK1" s="11" t="s">
        <v>228</v>
      </c>
      <c r="HL1" s="11" t="s">
        <v>229</v>
      </c>
      <c r="HM1" s="11" t="s">
        <v>230</v>
      </c>
      <c r="HN1" s="11" t="s">
        <v>231</v>
      </c>
      <c r="HO1" s="11" t="s">
        <v>232</v>
      </c>
      <c r="HP1" s="11" t="s">
        <v>233</v>
      </c>
      <c r="HQ1" s="11" t="s">
        <v>234</v>
      </c>
      <c r="HR1" s="11" t="s">
        <v>235</v>
      </c>
      <c r="HS1" s="11" t="s">
        <v>236</v>
      </c>
      <c r="HT1" s="11" t="s">
        <v>237</v>
      </c>
      <c r="HU1" s="11" t="s">
        <v>238</v>
      </c>
      <c r="HV1" s="11" t="s">
        <v>239</v>
      </c>
      <c r="HW1" s="11" t="s">
        <v>240</v>
      </c>
      <c r="HX1" s="11" t="s">
        <v>241</v>
      </c>
      <c r="HY1" s="11" t="s">
        <v>242</v>
      </c>
      <c r="HZ1" s="11" t="s">
        <v>243</v>
      </c>
      <c r="IA1" s="11" t="s">
        <v>244</v>
      </c>
      <c r="IB1" s="11" t="s">
        <v>245</v>
      </c>
      <c r="IC1" s="11" t="s">
        <v>246</v>
      </c>
      <c r="ID1" s="11" t="s">
        <v>247</v>
      </c>
      <c r="IE1" s="11" t="s">
        <v>248</v>
      </c>
      <c r="IF1" s="11" t="s">
        <v>249</v>
      </c>
      <c r="IG1" s="11" t="s">
        <v>250</v>
      </c>
      <c r="IH1" s="11" t="s">
        <v>251</v>
      </c>
      <c r="II1" s="11" t="s">
        <v>252</v>
      </c>
      <c r="IJ1" s="11" t="s">
        <v>253</v>
      </c>
      <c r="IK1" s="11" t="s">
        <v>254</v>
      </c>
      <c r="IL1" s="11" t="s">
        <v>255</v>
      </c>
      <c r="IM1" s="11" t="s">
        <v>256</v>
      </c>
      <c r="IN1" s="11" t="s">
        <v>257</v>
      </c>
      <c r="IO1" s="11" t="s">
        <v>258</v>
      </c>
      <c r="IP1" s="11" t="s">
        <v>259</v>
      </c>
      <c r="IQ1" s="19" t="s">
        <v>260</v>
      </c>
    </row>
    <row r="2" spans="1:251" s="38" customFormat="1" x14ac:dyDescent="0.25">
      <c r="A2" s="14" t="s">
        <v>59</v>
      </c>
      <c r="IQ2" s="39"/>
    </row>
    <row r="3" spans="1:251" s="2" customFormat="1" x14ac:dyDescent="0.25">
      <c r="A3" s="21" t="s">
        <v>4</v>
      </c>
      <c r="IQ3" s="17"/>
    </row>
    <row r="4" spans="1:251" s="2" customFormat="1" x14ac:dyDescent="0.25">
      <c r="A4" s="20" t="s">
        <v>5</v>
      </c>
      <c r="IQ4" s="17"/>
    </row>
    <row r="5" spans="1:251" s="2" customFormat="1" x14ac:dyDescent="0.25">
      <c r="A5" s="22" t="s">
        <v>6</v>
      </c>
      <c r="IQ5" s="17"/>
    </row>
    <row r="6" spans="1:251" s="2" customFormat="1" x14ac:dyDescent="0.25">
      <c r="A6" s="16" t="s">
        <v>7</v>
      </c>
      <c r="IQ6" s="17"/>
    </row>
    <row r="7" spans="1:251" s="15" customFormat="1" ht="20" thickBot="1" x14ac:dyDescent="0.3">
      <c r="A7" s="23" t="s">
        <v>8</v>
      </c>
      <c r="IQ7" s="18"/>
    </row>
    <row r="8" spans="1:251" s="38" customFormat="1" x14ac:dyDescent="0.25">
      <c r="A8" s="14" t="s">
        <v>60</v>
      </c>
      <c r="IQ8" s="39"/>
    </row>
    <row r="9" spans="1:251" s="2" customFormat="1" x14ac:dyDescent="0.25">
      <c r="A9" s="21" t="s">
        <v>4</v>
      </c>
      <c r="B9" s="36"/>
      <c r="C9" s="37"/>
      <c r="D9" s="37"/>
      <c r="E9" s="37"/>
      <c r="F9" s="37"/>
      <c r="G9" s="37"/>
      <c r="H9" s="37"/>
      <c r="I9" s="37"/>
      <c r="J9" s="37"/>
      <c r="K9" s="37"/>
      <c r="L9" s="37"/>
      <c r="M9" s="37"/>
      <c r="N9" s="37"/>
      <c r="O9" s="37"/>
      <c r="P9" s="37"/>
      <c r="Q9" s="37"/>
      <c r="R9" s="37"/>
      <c r="S9" s="37"/>
      <c r="T9" s="37"/>
      <c r="U9" s="37"/>
      <c r="V9" s="37"/>
      <c r="W9" s="37"/>
      <c r="X9" s="37"/>
      <c r="Y9" s="37"/>
      <c r="Z9" s="37"/>
      <c r="AA9" s="37"/>
      <c r="AB9" s="37"/>
      <c r="AC9" s="37"/>
      <c r="AD9" s="37"/>
      <c r="AE9" s="37"/>
      <c r="AF9" s="37"/>
      <c r="AG9" s="37"/>
      <c r="AH9" s="37"/>
      <c r="AI9" s="37"/>
      <c r="AJ9" s="37"/>
      <c r="AK9" s="37"/>
      <c r="AL9" s="37"/>
      <c r="AM9" s="37"/>
      <c r="AN9" s="37"/>
      <c r="AO9" s="37"/>
      <c r="AP9" s="37"/>
      <c r="AQ9" s="37"/>
      <c r="AR9" s="37"/>
      <c r="AS9" s="37"/>
      <c r="AT9" s="37"/>
      <c r="AU9" s="37"/>
      <c r="AV9" s="37"/>
      <c r="AW9" s="37"/>
      <c r="AX9" s="37"/>
      <c r="AY9" s="37"/>
      <c r="AZ9" s="37"/>
      <c r="BA9" s="37"/>
      <c r="BB9" s="37"/>
      <c r="BC9" s="37"/>
      <c r="BD9" s="37"/>
      <c r="BE9" s="37"/>
      <c r="BF9" s="37"/>
      <c r="BG9" s="37"/>
      <c r="BH9" s="37"/>
      <c r="BI9" s="37"/>
      <c r="BJ9" s="37"/>
      <c r="BK9" s="37"/>
      <c r="BL9" s="37"/>
      <c r="BM9" s="37"/>
      <c r="BN9" s="37"/>
      <c r="BO9" s="37"/>
      <c r="BP9" s="37"/>
      <c r="BQ9" s="37"/>
      <c r="BR9" s="37"/>
      <c r="BS9" s="37"/>
      <c r="BT9" s="37"/>
      <c r="BU9" s="37"/>
      <c r="BV9" s="37"/>
      <c r="BW9" s="37"/>
      <c r="BX9" s="37"/>
      <c r="BY9" s="37"/>
      <c r="BZ9" s="37"/>
      <c r="CA9" s="37"/>
      <c r="CB9" s="37"/>
      <c r="CC9" s="37"/>
      <c r="CD9" s="37"/>
      <c r="CE9" s="37"/>
      <c r="CF9" s="37"/>
      <c r="CG9" s="37"/>
      <c r="CH9" s="37"/>
      <c r="CI9" s="37"/>
      <c r="CJ9" s="37"/>
      <c r="CK9" s="37"/>
      <c r="CL9" s="37"/>
      <c r="CM9" s="37"/>
      <c r="CN9" s="37"/>
      <c r="CO9" s="37"/>
      <c r="CP9" s="37"/>
      <c r="CQ9" s="37"/>
      <c r="CR9" s="37"/>
      <c r="CS9" s="37"/>
      <c r="CT9" s="37"/>
      <c r="CU9" s="37"/>
      <c r="CV9" s="37"/>
      <c r="CW9" s="37"/>
      <c r="CX9" s="37"/>
      <c r="CY9" s="37"/>
      <c r="CZ9" s="37"/>
      <c r="DA9" s="37"/>
      <c r="DB9" s="37"/>
      <c r="DC9" s="37"/>
      <c r="DD9" s="37"/>
      <c r="DE9" s="37"/>
      <c r="DF9" s="37"/>
      <c r="DG9" s="37"/>
      <c r="DH9" s="37"/>
      <c r="DI9" s="37"/>
      <c r="DJ9" s="37"/>
      <c r="DK9" s="37"/>
      <c r="DL9" s="37"/>
      <c r="DM9" s="37"/>
      <c r="DN9" s="37"/>
      <c r="DO9" s="37"/>
      <c r="DP9" s="37"/>
      <c r="DQ9" s="37"/>
      <c r="DR9" s="37"/>
      <c r="DS9" s="37"/>
      <c r="DT9" s="37"/>
      <c r="DU9" s="37"/>
      <c r="DV9" s="37"/>
      <c r="DW9" s="37"/>
      <c r="DX9" s="37"/>
      <c r="DY9" s="37"/>
      <c r="DZ9" s="37"/>
      <c r="EA9" s="37"/>
      <c r="EB9" s="37"/>
      <c r="EC9" s="37"/>
      <c r="ED9" s="37"/>
      <c r="EE9" s="37"/>
      <c r="EF9" s="37"/>
      <c r="EG9" s="37"/>
      <c r="EH9" s="37"/>
      <c r="EI9" s="37"/>
      <c r="EJ9" s="37"/>
      <c r="EK9" s="37"/>
      <c r="EL9" s="37"/>
      <c r="EM9" s="37"/>
      <c r="EN9" s="37"/>
      <c r="EO9" s="37"/>
      <c r="EP9" s="37"/>
      <c r="EQ9" s="37"/>
      <c r="ER9" s="37"/>
      <c r="ES9" s="37"/>
      <c r="ET9" s="37"/>
      <c r="EU9" s="37"/>
      <c r="IQ9" s="17"/>
    </row>
    <row r="10" spans="1:251" s="2" customFormat="1" x14ac:dyDescent="0.25">
      <c r="A10" s="20" t="s">
        <v>5</v>
      </c>
      <c r="IQ10" s="17"/>
    </row>
    <row r="11" spans="1:251" s="2" customFormat="1" x14ac:dyDescent="0.25">
      <c r="A11" s="22" t="s">
        <v>6</v>
      </c>
      <c r="IQ11" s="17"/>
    </row>
    <row r="12" spans="1:251" s="2" customFormat="1" x14ac:dyDescent="0.25">
      <c r="A12" s="16" t="s">
        <v>7</v>
      </c>
      <c r="IQ12" s="17"/>
    </row>
    <row r="13" spans="1:251" s="15" customFormat="1" ht="20" thickBot="1" x14ac:dyDescent="0.3">
      <c r="A13" s="23" t="s">
        <v>8</v>
      </c>
      <c r="IQ13" s="18"/>
    </row>
    <row r="14" spans="1:251" s="38" customFormat="1" x14ac:dyDescent="0.25">
      <c r="A14" s="14" t="s">
        <v>262</v>
      </c>
      <c r="IQ14" s="39"/>
    </row>
    <row r="15" spans="1:251" s="2" customFormat="1" x14ac:dyDescent="0.25">
      <c r="A15" s="21" t="s">
        <v>4</v>
      </c>
      <c r="IQ15" s="17"/>
    </row>
    <row r="16" spans="1:251" s="2" customFormat="1" x14ac:dyDescent="0.25">
      <c r="A16" s="20" t="s">
        <v>5</v>
      </c>
      <c r="IQ16" s="17"/>
    </row>
    <row r="17" spans="1:251" s="2" customFormat="1" x14ac:dyDescent="0.25">
      <c r="A17" s="22" t="s">
        <v>6</v>
      </c>
      <c r="IQ17" s="17"/>
    </row>
    <row r="18" spans="1:251" s="2" customFormat="1" x14ac:dyDescent="0.25">
      <c r="A18" s="16" t="s">
        <v>7</v>
      </c>
      <c r="IQ18" s="17"/>
    </row>
    <row r="19" spans="1:251" s="15" customFormat="1" ht="20" thickBot="1" x14ac:dyDescent="0.3">
      <c r="A19" s="23" t="s">
        <v>8</v>
      </c>
      <c r="IQ19" s="18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Tasks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Ziang Dai</dc:creator>
  <cp:lastModifiedBy>Ziang Dai</cp:lastModifiedBy>
  <dcterms:created xsi:type="dcterms:W3CDTF">2025-06-09T15:33:40Z</dcterms:created>
  <dcterms:modified xsi:type="dcterms:W3CDTF">2025-06-09T20:57:09Z</dcterms:modified>
</cp:coreProperties>
</file>