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ang/Library/CloudStorage/Nextcloud-ziang.dai@drive.ziang.xyz/uni/str/str/examen/ziang/"/>
    </mc:Choice>
  </mc:AlternateContent>
  <xr:revisionPtr revIDLastSave="0" documentId="13_ncr:1_{06169B3B-236B-8144-B7C1-56E432396D84}" xr6:coauthVersionLast="47" xr6:coauthVersionMax="47" xr10:uidLastSave="{00000000-0000-0000-0000-000000000000}"/>
  <bookViews>
    <workbookView xWindow="0" yWindow="0" windowWidth="68800" windowHeight="28800" activeTab="2" xr2:uid="{169D08EE-DBA2-1740-96A5-C53B161C1B38}"/>
  </bookViews>
  <sheets>
    <sheet name="Tasks" sheetId="1" r:id="rId1"/>
    <sheet name="Template" sheetId="2" r:id="rId2"/>
    <sheet name="Schedulin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7" i="1" s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L24" i="1"/>
  <c r="AJ21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L23" i="1"/>
  <c r="L18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N18" i="1"/>
  <c r="M18" i="1"/>
  <c r="AJ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L12" i="1"/>
  <c r="M12" i="1"/>
  <c r="N12" i="1"/>
  <c r="O12" i="1"/>
  <c r="P12" i="1"/>
  <c r="Q12" i="1"/>
  <c r="R12" i="1"/>
  <c r="L13" i="1"/>
  <c r="M13" i="1"/>
  <c r="N13" i="1"/>
  <c r="O13" i="1"/>
  <c r="P13" i="1"/>
  <c r="Q13" i="1"/>
  <c r="R13" i="1"/>
  <c r="L14" i="1"/>
  <c r="M14" i="1"/>
  <c r="N14" i="1"/>
  <c r="O14" i="1"/>
  <c r="P14" i="1"/>
  <c r="Q14" i="1"/>
  <c r="R14" i="1"/>
  <c r="L15" i="1"/>
  <c r="M15" i="1"/>
  <c r="N15" i="1"/>
  <c r="O15" i="1"/>
  <c r="P15" i="1"/>
  <c r="Q15" i="1"/>
  <c r="R15" i="1"/>
  <c r="M11" i="1"/>
  <c r="N11" i="1"/>
  <c r="O11" i="1"/>
  <c r="P11" i="1"/>
  <c r="Q11" i="1"/>
  <c r="R11" i="1"/>
  <c r="L11" i="1"/>
  <c r="H3" i="1"/>
  <c r="F11" i="1"/>
  <c r="F12" i="1"/>
  <c r="I12" i="1" s="1"/>
  <c r="F13" i="1"/>
  <c r="I13" i="1" s="1"/>
  <c r="F14" i="1"/>
  <c r="F15" i="1"/>
  <c r="C12" i="1"/>
  <c r="C13" i="1"/>
  <c r="C14" i="1"/>
  <c r="I14" i="1" s="1"/>
  <c r="C15" i="1"/>
  <c r="I15" i="1" s="1"/>
  <c r="C11" i="1"/>
  <c r="I11" i="1" s="1"/>
  <c r="C16" i="1" l="1"/>
  <c r="H2" i="1" s="1"/>
  <c r="H4" i="1" s="1"/>
</calcChain>
</file>

<file path=xl/sharedStrings.xml><?xml version="1.0" encoding="utf-8"?>
<sst xmlns="http://schemas.openxmlformats.org/spreadsheetml/2006/main" count="595" uniqueCount="274">
  <si>
    <t>Task 𝜏</t>
  </si>
  <si>
    <t>Computation Time 𝐶</t>
  </si>
  <si>
    <t>Period 𝑇</t>
  </si>
  <si>
    <t>Deadline 𝐷</t>
  </si>
  <si>
    <t>𝜏1</t>
  </si>
  <si>
    <t>𝜏2</t>
  </si>
  <si>
    <t>𝜏3</t>
  </si>
  <si>
    <t>𝜏4</t>
  </si>
  <si>
    <t>𝜏5</t>
  </si>
  <si>
    <t>1ms</t>
  </si>
  <si>
    <t>2ms</t>
  </si>
  <si>
    <t>3ms</t>
  </si>
  <si>
    <t>4ms</t>
  </si>
  <si>
    <t>5ms</t>
  </si>
  <si>
    <t>6ms</t>
  </si>
  <si>
    <t>7ms</t>
  </si>
  <si>
    <t>8ms</t>
  </si>
  <si>
    <t>9ms</t>
  </si>
  <si>
    <t>10ms</t>
  </si>
  <si>
    <t>11ms</t>
  </si>
  <si>
    <t>12ms</t>
  </si>
  <si>
    <t>13ms</t>
  </si>
  <si>
    <t>14ms</t>
  </si>
  <si>
    <t>15ms</t>
  </si>
  <si>
    <t>16ms</t>
  </si>
  <si>
    <t>17ms</t>
  </si>
  <si>
    <t>18ms</t>
  </si>
  <si>
    <t>19ms</t>
  </si>
  <si>
    <t>20ms</t>
  </si>
  <si>
    <t>21ms</t>
  </si>
  <si>
    <t>22ms</t>
  </si>
  <si>
    <t>23ms</t>
  </si>
  <si>
    <t>24ms</t>
  </si>
  <si>
    <t>25ms</t>
  </si>
  <si>
    <t>26ms</t>
  </si>
  <si>
    <t>27ms</t>
  </si>
  <si>
    <t>28ms</t>
  </si>
  <si>
    <t>29ms</t>
  </si>
  <si>
    <t>30ms</t>
  </si>
  <si>
    <t>31ms</t>
  </si>
  <si>
    <t>32ms</t>
  </si>
  <si>
    <t>33ms</t>
  </si>
  <si>
    <t>34ms</t>
  </si>
  <si>
    <t>35ms</t>
  </si>
  <si>
    <t>36ms</t>
  </si>
  <si>
    <t>37ms</t>
  </si>
  <si>
    <t>38ms</t>
  </si>
  <si>
    <t>39ms</t>
  </si>
  <si>
    <t>40ms</t>
  </si>
  <si>
    <t>41ms</t>
  </si>
  <si>
    <t>42ms</t>
  </si>
  <si>
    <t>43ms</t>
  </si>
  <si>
    <t>44ms</t>
  </si>
  <si>
    <t>45ms</t>
  </si>
  <si>
    <t>46ms</t>
  </si>
  <si>
    <t>47ms</t>
  </si>
  <si>
    <t>48ms</t>
  </si>
  <si>
    <t>49ms</t>
  </si>
  <si>
    <t>50ms</t>
  </si>
  <si>
    <t>Scheduling</t>
  </si>
  <si>
    <t>Periods</t>
  </si>
  <si>
    <t>51ms</t>
  </si>
  <si>
    <t>52ms</t>
  </si>
  <si>
    <t>53ms</t>
  </si>
  <si>
    <t>54ms</t>
  </si>
  <si>
    <t>55ms</t>
  </si>
  <si>
    <t>56ms</t>
  </si>
  <si>
    <t>57ms</t>
  </si>
  <si>
    <t>58ms</t>
  </si>
  <si>
    <t>59ms</t>
  </si>
  <si>
    <t>60ms</t>
  </si>
  <si>
    <t>61ms</t>
  </si>
  <si>
    <t>62ms</t>
  </si>
  <si>
    <t>63ms</t>
  </si>
  <si>
    <t>64ms</t>
  </si>
  <si>
    <t>65ms</t>
  </si>
  <si>
    <t>66ms</t>
  </si>
  <si>
    <t>67ms</t>
  </si>
  <si>
    <t>68ms</t>
  </si>
  <si>
    <t>69ms</t>
  </si>
  <si>
    <t>70ms</t>
  </si>
  <si>
    <t>71ms</t>
  </si>
  <si>
    <t>72ms</t>
  </si>
  <si>
    <t>73ms</t>
  </si>
  <si>
    <t>74ms</t>
  </si>
  <si>
    <t>75ms</t>
  </si>
  <si>
    <t>76ms</t>
  </si>
  <si>
    <t>77ms</t>
  </si>
  <si>
    <t>78ms</t>
  </si>
  <si>
    <t>79ms</t>
  </si>
  <si>
    <t>80ms</t>
  </si>
  <si>
    <t>81ms</t>
  </si>
  <si>
    <t>82ms</t>
  </si>
  <si>
    <t>83ms</t>
  </si>
  <si>
    <t>84ms</t>
  </si>
  <si>
    <t>85ms</t>
  </si>
  <si>
    <t>86ms</t>
  </si>
  <si>
    <t>87ms</t>
  </si>
  <si>
    <t>88ms</t>
  </si>
  <si>
    <t>89ms</t>
  </si>
  <si>
    <t>90ms</t>
  </si>
  <si>
    <t>91ms</t>
  </si>
  <si>
    <t>92ms</t>
  </si>
  <si>
    <t>93ms</t>
  </si>
  <si>
    <t>94ms</t>
  </si>
  <si>
    <t>95ms</t>
  </si>
  <si>
    <t>96ms</t>
  </si>
  <si>
    <t>97ms</t>
  </si>
  <si>
    <t>98ms</t>
  </si>
  <si>
    <t>99ms</t>
  </si>
  <si>
    <t>100ms</t>
  </si>
  <si>
    <t>101ms</t>
  </si>
  <si>
    <t>102ms</t>
  </si>
  <si>
    <t>103ms</t>
  </si>
  <si>
    <t>104ms</t>
  </si>
  <si>
    <t>105ms</t>
  </si>
  <si>
    <t>106ms</t>
  </si>
  <si>
    <t>107ms</t>
  </si>
  <si>
    <t>108ms</t>
  </si>
  <si>
    <t>109ms</t>
  </si>
  <si>
    <t>110ms</t>
  </si>
  <si>
    <t>111ms</t>
  </si>
  <si>
    <t>112ms</t>
  </si>
  <si>
    <t>113ms</t>
  </si>
  <si>
    <t>114ms</t>
  </si>
  <si>
    <t>115ms</t>
  </si>
  <si>
    <t>116ms</t>
  </si>
  <si>
    <t>117ms</t>
  </si>
  <si>
    <t>118ms</t>
  </si>
  <si>
    <t>119ms</t>
  </si>
  <si>
    <t>120ms</t>
  </si>
  <si>
    <t>121ms</t>
  </si>
  <si>
    <t>122ms</t>
  </si>
  <si>
    <t>123ms</t>
  </si>
  <si>
    <t>124ms</t>
  </si>
  <si>
    <t>125ms</t>
  </si>
  <si>
    <t>126ms</t>
  </si>
  <si>
    <t>127ms</t>
  </si>
  <si>
    <t>128ms</t>
  </si>
  <si>
    <t>129ms</t>
  </si>
  <si>
    <t>130ms</t>
  </si>
  <si>
    <t>131ms</t>
  </si>
  <si>
    <t>132ms</t>
  </si>
  <si>
    <t>133ms</t>
  </si>
  <si>
    <t>134ms</t>
  </si>
  <si>
    <t>135ms</t>
  </si>
  <si>
    <t>136ms</t>
  </si>
  <si>
    <t>137ms</t>
  </si>
  <si>
    <t>138ms</t>
  </si>
  <si>
    <t>139ms</t>
  </si>
  <si>
    <t>140ms</t>
  </si>
  <si>
    <t>141ms</t>
  </si>
  <si>
    <t>142ms</t>
  </si>
  <si>
    <t>143ms</t>
  </si>
  <si>
    <t>144ms</t>
  </si>
  <si>
    <t>145ms</t>
  </si>
  <si>
    <t>146ms</t>
  </si>
  <si>
    <t>147ms</t>
  </si>
  <si>
    <t>148ms</t>
  </si>
  <si>
    <t>149ms</t>
  </si>
  <si>
    <t>150ms</t>
  </si>
  <si>
    <t>151ms</t>
  </si>
  <si>
    <t>152ms</t>
  </si>
  <si>
    <t>153ms</t>
  </si>
  <si>
    <t>154ms</t>
  </si>
  <si>
    <t>155ms</t>
  </si>
  <si>
    <t>156ms</t>
  </si>
  <si>
    <t>157ms</t>
  </si>
  <si>
    <t>158ms</t>
  </si>
  <si>
    <t>159ms</t>
  </si>
  <si>
    <t>160ms</t>
  </si>
  <si>
    <t>161ms</t>
  </si>
  <si>
    <t>162ms</t>
  </si>
  <si>
    <t>163ms</t>
  </si>
  <si>
    <t>164ms</t>
  </si>
  <si>
    <t>165ms</t>
  </si>
  <si>
    <t>166ms</t>
  </si>
  <si>
    <t>167ms</t>
  </si>
  <si>
    <t>168ms</t>
  </si>
  <si>
    <t>169ms</t>
  </si>
  <si>
    <t>170ms</t>
  </si>
  <si>
    <t>171ms</t>
  </si>
  <si>
    <t>172ms</t>
  </si>
  <si>
    <t>173ms</t>
  </si>
  <si>
    <t>174ms</t>
  </si>
  <si>
    <t>175ms</t>
  </si>
  <si>
    <t>176ms</t>
  </si>
  <si>
    <t>177ms</t>
  </si>
  <si>
    <t>178ms</t>
  </si>
  <si>
    <t>179ms</t>
  </si>
  <si>
    <t>180ms</t>
  </si>
  <si>
    <t>181ms</t>
  </si>
  <si>
    <t>182ms</t>
  </si>
  <si>
    <t>183ms</t>
  </si>
  <si>
    <t>184ms</t>
  </si>
  <si>
    <t>185ms</t>
  </si>
  <si>
    <t>186ms</t>
  </si>
  <si>
    <t>187ms</t>
  </si>
  <si>
    <t>188ms</t>
  </si>
  <si>
    <t>189ms</t>
  </si>
  <si>
    <t>190ms</t>
  </si>
  <si>
    <t>191ms</t>
  </si>
  <si>
    <t>192ms</t>
  </si>
  <si>
    <t>193ms</t>
  </si>
  <si>
    <t>194ms</t>
  </si>
  <si>
    <t>195ms</t>
  </si>
  <si>
    <t>196ms</t>
  </si>
  <si>
    <t>197ms</t>
  </si>
  <si>
    <t>198ms</t>
  </si>
  <si>
    <t>199ms</t>
  </si>
  <si>
    <t>200ms</t>
  </si>
  <si>
    <t>201ms</t>
  </si>
  <si>
    <t>202ms</t>
  </si>
  <si>
    <t>203ms</t>
  </si>
  <si>
    <t>204ms</t>
  </si>
  <si>
    <t>205ms</t>
  </si>
  <si>
    <t>206ms</t>
  </si>
  <si>
    <t>207ms</t>
  </si>
  <si>
    <t>208ms</t>
  </si>
  <si>
    <t>209ms</t>
  </si>
  <si>
    <t>210ms</t>
  </si>
  <si>
    <t>211ms</t>
  </si>
  <si>
    <t>212ms</t>
  </si>
  <si>
    <t>213ms</t>
  </si>
  <si>
    <t>214ms</t>
  </si>
  <si>
    <t>215ms</t>
  </si>
  <si>
    <t>216ms</t>
  </si>
  <si>
    <t>217ms</t>
  </si>
  <si>
    <t>218ms</t>
  </si>
  <si>
    <t>219ms</t>
  </si>
  <si>
    <t>220ms</t>
  </si>
  <si>
    <t>221ms</t>
  </si>
  <si>
    <t>222ms</t>
  </si>
  <si>
    <t>223ms</t>
  </si>
  <si>
    <t>224ms</t>
  </si>
  <si>
    <t>225ms</t>
  </si>
  <si>
    <t>226ms</t>
  </si>
  <si>
    <t>227ms</t>
  </si>
  <si>
    <t>228ms</t>
  </si>
  <si>
    <t>229ms</t>
  </si>
  <si>
    <t>230ms</t>
  </si>
  <si>
    <t>231ms</t>
  </si>
  <si>
    <t>232ms</t>
  </si>
  <si>
    <t>233ms</t>
  </si>
  <si>
    <t>234ms</t>
  </si>
  <si>
    <t>235ms</t>
  </si>
  <si>
    <t>236ms</t>
  </si>
  <si>
    <t>237ms</t>
  </si>
  <si>
    <t>238ms</t>
  </si>
  <si>
    <t>239ms</t>
  </si>
  <si>
    <t>240ms</t>
  </si>
  <si>
    <t>241ms</t>
  </si>
  <si>
    <t>242ms</t>
  </si>
  <si>
    <t>243ms</t>
  </si>
  <si>
    <t>244ms</t>
  </si>
  <si>
    <t>245ms</t>
  </si>
  <si>
    <t>246ms</t>
  </si>
  <si>
    <t>247ms</t>
  </si>
  <si>
    <t>248ms</t>
  </si>
  <si>
    <t>249ms</t>
  </si>
  <si>
    <t>250ms</t>
  </si>
  <si>
    <t>Times</t>
  </si>
  <si>
    <t>Deadlines</t>
  </si>
  <si>
    <t>Utilization</t>
  </si>
  <si>
    <t>total</t>
  </si>
  <si>
    <t>𝐿*</t>
  </si>
  <si>
    <t>𝐻</t>
  </si>
  <si>
    <t>𝑇 - 𝐷</t>
  </si>
  <si>
    <t>sum</t>
  </si>
  <si>
    <t>min(𝐿*, 𝐻)</t>
  </si>
  <si>
    <t>𝑘</t>
  </si>
  <si>
    <t>g(0, 𝐿)</t>
  </si>
  <si>
    <t>𝐿</t>
  </si>
  <si>
    <t>g(0, 𝐿) &lt; 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</si>
</sst>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1" tint="0.2499465926084170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C4C4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8" borderId="0"/>
  </cellStyleXfs>
  <cellXfs count="114">
    <xf numFmtId="0" fontId="0" fillId="8" borderId="0" xfId="0"/>
    <xf numFmtId="0" fontId="2" fillId="8" borderId="0" xfId="0" applyFont="1"/>
    <xf numFmtId="0" fontId="2" fillId="8" borderId="1" xfId="0" applyFont="1" applyBorder="1"/>
    <xf numFmtId="0" fontId="2" fillId="8" borderId="4" xfId="0" applyFont="1" applyBorder="1"/>
    <xf numFmtId="0" fontId="2" fillId="8" borderId="5" xfId="0" applyFont="1" applyBorder="1"/>
    <xf numFmtId="0" fontId="2" fillId="8" borderId="7" xfId="0" applyFont="1" applyBorder="1"/>
    <xf numFmtId="0" fontId="2" fillId="8" borderId="8" xfId="0" applyFont="1" applyBorder="1"/>
    <xf numFmtId="0" fontId="4" fillId="8" borderId="2" xfId="0" applyFont="1" applyBorder="1"/>
    <xf numFmtId="0" fontId="4" fillId="8" borderId="9" xfId="0" applyFont="1" applyBorder="1"/>
    <xf numFmtId="0" fontId="4" fillId="8" borderId="10" xfId="0" applyFont="1" applyBorder="1"/>
    <xf numFmtId="0" fontId="2" fillId="8" borderId="12" xfId="0" applyFont="1" applyBorder="1"/>
    <xf numFmtId="0" fontId="2" fillId="8" borderId="13" xfId="0" applyFont="1" applyBorder="1"/>
    <xf numFmtId="0" fontId="2" fillId="8" borderId="11" xfId="0" applyFont="1" applyBorder="1"/>
    <xf numFmtId="0" fontId="2" fillId="8" borderId="14" xfId="0" applyFont="1" applyBorder="1"/>
    <xf numFmtId="0" fontId="2" fillId="8" borderId="17" xfId="0" applyFont="1" applyBorder="1"/>
    <xf numFmtId="0" fontId="2" fillId="3" borderId="13" xfId="0" applyFont="1" applyFill="1" applyBorder="1"/>
    <xf numFmtId="0" fontId="2" fillId="8" borderId="18" xfId="0" applyFont="1" applyBorder="1"/>
    <xf numFmtId="0" fontId="2" fillId="8" borderId="19" xfId="0" applyFont="1" applyBorder="1"/>
    <xf numFmtId="0" fontId="2" fillId="8" borderId="20" xfId="0" applyFont="1" applyBorder="1"/>
    <xf numFmtId="0" fontId="2" fillId="2" borderId="13" xfId="0" applyFont="1" applyFill="1" applyBorder="1"/>
    <xf numFmtId="0" fontId="2" fillId="5" borderId="13" xfId="0" applyFont="1" applyFill="1" applyBorder="1"/>
    <xf numFmtId="0" fontId="2" fillId="6" borderId="13" xfId="0" applyFont="1" applyFill="1" applyBorder="1"/>
    <xf numFmtId="0" fontId="2" fillId="7" borderId="16" xfId="0" applyFont="1" applyFill="1" applyBorder="1"/>
    <xf numFmtId="0" fontId="2" fillId="8" borderId="3" xfId="0" applyFont="1" applyBorder="1"/>
    <xf numFmtId="0" fontId="2" fillId="8" borderId="6" xfId="0" applyFont="1" applyBorder="1"/>
    <xf numFmtId="0" fontId="2" fillId="8" borderId="2" xfId="0" applyFont="1" applyBorder="1"/>
    <xf numFmtId="0" fontId="2" fillId="8" borderId="10" xfId="0" applyFont="1" applyBorder="1"/>
    <xf numFmtId="0" fontId="4" fillId="8" borderId="8" xfId="0" applyFont="1" applyBorder="1"/>
    <xf numFmtId="0" fontId="4" fillId="8" borderId="5" xfId="0" applyFont="1" applyBorder="1"/>
    <xf numFmtId="0" fontId="2" fillId="8" borderId="9" xfId="0" applyFont="1" applyBorder="1"/>
    <xf numFmtId="0" fontId="4" fillId="8" borderId="22" xfId="0" applyFont="1" applyBorder="1"/>
    <xf numFmtId="0" fontId="2" fillId="8" borderId="21" xfId="0" applyFont="1" applyBorder="1"/>
    <xf numFmtId="0" fontId="2" fillId="4" borderId="15" xfId="0" applyFont="1" applyFill="1" applyBorder="1"/>
    <xf numFmtId="0" fontId="4" fillId="8" borderId="22" xfId="0" applyFont="1" applyBorder="1" applyAlignment="1">
      <alignment horizontal="center"/>
    </xf>
    <xf numFmtId="0" fontId="4" fillId="8" borderId="10" xfId="0" applyFont="1" applyBorder="1" applyAlignment="1">
      <alignment horizontal="center"/>
    </xf>
    <xf numFmtId="0" fontId="2" fillId="8" borderId="22" xfId="0" applyFont="1" applyBorder="1" applyAlignment="1">
      <alignment horizontal="center"/>
    </xf>
    <xf numFmtId="0" fontId="2" fillId="8" borderId="10" xfId="0" applyFont="1" applyBorder="1" applyAlignment="1">
      <alignment horizontal="center"/>
    </xf>
    <xf numFmtId="0" fontId="2" fillId="5" borderId="0" xfId="0" applyFont="1" applyFill="1" applyBorder="1"/>
    <xf numFmtId="0" fontId="2" fillId="2" borderId="0" xfId="0" applyFont="1" applyFill="1" applyBorder="1"/>
    <xf numFmtId="0" fontId="2" fillId="6" borderId="0" xfId="0" applyFont="1" applyFill="1" applyBorder="1"/>
    <xf numFmtId="0" fontId="2" fillId="3" borderId="0" xfId="0" applyFont="1" applyFill="1" applyBorder="1"/>
    <xf numFmtId="0" fontId="2" fillId="7" borderId="13" xfId="0" applyFont="1" applyFill="1" applyBorder="1"/>
    <xf numFmtId="0" fontId="2" fillId="8" borderId="0" xfId="0" applyFont="1" applyBorder="1"/>
    <xf numFmtId="0" fontId="2" fillId="4" borderId="12" xfId="0" applyFont="1" applyFill="1" applyBorder="1"/>
    <xf numFmtId="0" fontId="2" fillId="4" borderId="20" xfId="0" applyFont="1" applyFill="1" applyBorder="1"/>
    <xf numFmtId="0" fontId="2" fillId="5" borderId="21" xfId="0" applyFont="1" applyFill="1" applyBorder="1"/>
    <xf numFmtId="0" fontId="2" fillId="8" borderId="16" xfId="0" applyFont="1" applyBorder="1"/>
    <xf numFmtId="0" fontId="1" fillId="8" borderId="14" xfId="0" applyFont="1" applyBorder="1"/>
    <xf numFmtId="0" fontId="1" fillId="8" borderId="16" xfId="0" applyFont="1" applyBorder="1"/>
    <xf numFmtId="0" fontId="2" fillId="5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7" borderId="17" xfId="0" applyFont="1" applyFill="1" applyBorder="1"/>
    <xf numFmtId="0" fontId="2" fillId="9" borderId="2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25" xfId="0" applyFont="1" applyFill="1" applyBorder="1" applyAlignment="1">
      <alignment horizontal="center"/>
    </xf>
    <xf numFmtId="0" fontId="2" fillId="11" borderId="26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0" borderId="29" xfId="0" applyFont="1" applyFill="1" applyBorder="1" applyAlignment="1">
      <alignment horizontal="center"/>
    </xf>
    <xf numFmtId="0" fontId="2" fillId="10" borderId="30" xfId="0" applyFont="1" applyFill="1" applyBorder="1" applyAlignment="1">
      <alignment horizontal="center"/>
    </xf>
    <xf numFmtId="0" fontId="2" fillId="10" borderId="31" xfId="0" applyFont="1" applyFill="1" applyBorder="1" applyAlignment="1">
      <alignment horizontal="center"/>
    </xf>
    <xf numFmtId="0" fontId="2" fillId="9" borderId="25" xfId="0" applyFont="1" applyFill="1" applyBorder="1" applyAlignment="1">
      <alignment horizontal="center"/>
    </xf>
    <xf numFmtId="0" fontId="2" fillId="9" borderId="26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5" fillId="12" borderId="22" xfId="0" applyFont="1" applyFill="1" applyBorder="1" applyAlignment="1">
      <alignment horizontal="center"/>
    </xf>
    <xf numFmtId="0" fontId="5" fillId="12" borderId="9" xfId="0" applyFont="1" applyFill="1" applyBorder="1" applyAlignment="1">
      <alignment horizontal="center"/>
    </xf>
    <xf numFmtId="0" fontId="5" fillId="12" borderId="10" xfId="0" applyFont="1" applyFill="1" applyBorder="1" applyAlignment="1">
      <alignment horizontal="center"/>
    </xf>
    <xf numFmtId="0" fontId="2" fillId="13" borderId="23" xfId="0" applyFont="1" applyFill="1" applyBorder="1" applyAlignment="1">
      <alignment horizontal="center"/>
    </xf>
    <xf numFmtId="0" fontId="2" fillId="13" borderId="17" xfId="0" applyFont="1" applyFill="1" applyBorder="1" applyAlignment="1">
      <alignment horizontal="center"/>
    </xf>
    <xf numFmtId="0" fontId="2" fillId="10" borderId="0" xfId="0" applyFont="1" applyFill="1" applyBorder="1"/>
    <xf numFmtId="0" fontId="2" fillId="11" borderId="0" xfId="0" applyFont="1" applyFill="1" applyBorder="1"/>
    <xf numFmtId="0" fontId="2" fillId="9" borderId="0" xfId="0" applyFont="1" applyFill="1" applyBorder="1"/>
    <xf numFmtId="0" fontId="2" fillId="12" borderId="0" xfId="0" applyFont="1" applyFill="1" applyBorder="1"/>
    <xf numFmtId="0" fontId="2" fillId="13" borderId="17" xfId="0" applyFont="1" applyFill="1" applyBorder="1"/>
    <xf numFmtId="0" fontId="2" fillId="8" borderId="32" xfId="0" applyFont="1" applyBorder="1"/>
    <xf numFmtId="0" fontId="2" fillId="4" borderId="32" xfId="0" applyFont="1" applyFill="1" applyBorder="1"/>
    <xf numFmtId="0" fontId="2" fillId="8" borderId="23" xfId="0" applyFont="1" applyBorder="1"/>
    <xf numFmtId="0" fontId="2" fillId="5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7" borderId="28" xfId="0" applyFont="1" applyFill="1" applyBorder="1" applyAlignment="1">
      <alignment horizontal="center"/>
    </xf>
    <xf numFmtId="0" fontId="2" fillId="4" borderId="24" xfId="0" applyFont="1" applyFill="1" applyBorder="1"/>
    <xf numFmtId="0" fontId="2" fillId="5" borderId="36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</cellXfs>
  <cellStyles count="1">
    <cellStyle name="Normal" xfId="0" builtinId="0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C4C4"/>
      <color rgb="FF00FDFF"/>
      <color rgb="FF00C494"/>
      <color rgb="FF7FFCFF"/>
      <color rgb="FFBAFCFF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DAC3-6B05-9D4B-BAB6-21CD4D067C4E}">
  <dimension ref="B2:AJ24"/>
  <sheetViews>
    <sheetView workbookViewId="0">
      <selection activeCell="AA42" sqref="AA42"/>
    </sheetView>
  </sheetViews>
  <sheetFormatPr baseColWidth="10" defaultColWidth="10.6640625" defaultRowHeight="19" x14ac:dyDescent="0.25"/>
  <cols>
    <col min="1" max="2" width="6.83203125" style="1" bestFit="1" customWidth="1"/>
    <col min="3" max="3" width="20.33203125" style="1" bestFit="1" customWidth="1"/>
    <col min="4" max="4" width="11.6640625" style="1" bestFit="1" customWidth="1"/>
    <col min="5" max="5" width="9" style="1" bestFit="1" customWidth="1"/>
    <col min="6" max="6" width="3.5" style="1" bestFit="1" customWidth="1"/>
    <col min="7" max="7" width="11" style="1" bestFit="1" customWidth="1"/>
    <col min="8" max="8" width="5.1640625" style="1" bestFit="1" customWidth="1"/>
    <col min="9" max="9" width="14" style="1" bestFit="1" customWidth="1"/>
    <col min="10" max="10" width="10.6640625" style="1"/>
    <col min="11" max="11" width="10.1640625" style="1" bestFit="1" customWidth="1"/>
    <col min="12" max="36" width="6.1640625" style="1" bestFit="1" customWidth="1"/>
    <col min="37" max="16384" width="10.6640625" style="1"/>
  </cols>
  <sheetData>
    <row r="2" spans="2:18" x14ac:dyDescent="0.25">
      <c r="B2" s="7" t="s">
        <v>0</v>
      </c>
      <c r="C2" s="8" t="s">
        <v>1</v>
      </c>
      <c r="D2" s="8" t="s">
        <v>3</v>
      </c>
      <c r="E2" s="9" t="s">
        <v>2</v>
      </c>
      <c r="G2" s="24" t="s">
        <v>265</v>
      </c>
      <c r="H2" s="23">
        <f>_xlfn.CEILING.MATH(I17)</f>
        <v>260</v>
      </c>
    </row>
    <row r="3" spans="2:18" x14ac:dyDescent="0.25">
      <c r="B3" s="5" t="s">
        <v>4</v>
      </c>
      <c r="C3" s="1">
        <v>2</v>
      </c>
      <c r="D3" s="1">
        <v>15</v>
      </c>
      <c r="E3" s="3">
        <v>30</v>
      </c>
      <c r="G3" s="6" t="s">
        <v>266</v>
      </c>
      <c r="H3" s="4">
        <f>LCM(E3:E7)</f>
        <v>600</v>
      </c>
    </row>
    <row r="4" spans="2:18" x14ac:dyDescent="0.25">
      <c r="B4" s="5" t="s">
        <v>5</v>
      </c>
      <c r="C4" s="1">
        <v>4</v>
      </c>
      <c r="D4" s="1">
        <v>20</v>
      </c>
      <c r="E4" s="3">
        <v>30</v>
      </c>
      <c r="G4" s="25" t="s">
        <v>269</v>
      </c>
      <c r="H4" s="26">
        <f>MIN(H2:H3)</f>
        <v>260</v>
      </c>
    </row>
    <row r="5" spans="2:18" x14ac:dyDescent="0.25">
      <c r="B5" s="5" t="s">
        <v>6</v>
      </c>
      <c r="C5" s="1">
        <v>10</v>
      </c>
      <c r="D5" s="1">
        <v>35</v>
      </c>
      <c r="E5" s="3">
        <v>40</v>
      </c>
    </row>
    <row r="6" spans="2:18" x14ac:dyDescent="0.25">
      <c r="B6" s="5" t="s">
        <v>7</v>
      </c>
      <c r="C6" s="1">
        <v>21</v>
      </c>
      <c r="D6" s="1">
        <v>40</v>
      </c>
      <c r="E6" s="3">
        <v>50</v>
      </c>
    </row>
    <row r="7" spans="2:18" x14ac:dyDescent="0.25">
      <c r="B7" s="6" t="s">
        <v>8</v>
      </c>
      <c r="C7" s="2">
        <v>5</v>
      </c>
      <c r="D7" s="2">
        <v>50</v>
      </c>
      <c r="E7" s="4">
        <v>50</v>
      </c>
    </row>
    <row r="10" spans="2:18" x14ac:dyDescent="0.25">
      <c r="B10" s="33" t="s">
        <v>263</v>
      </c>
      <c r="C10" s="34"/>
      <c r="E10" s="35" t="s">
        <v>267</v>
      </c>
      <c r="F10" s="36"/>
      <c r="H10" s="35" t="s">
        <v>265</v>
      </c>
      <c r="I10" s="36"/>
      <c r="K10" s="30" t="s">
        <v>270</v>
      </c>
      <c r="L10" s="8">
        <v>0</v>
      </c>
      <c r="M10" s="8">
        <v>1</v>
      </c>
      <c r="N10" s="8">
        <v>2</v>
      </c>
      <c r="O10" s="8">
        <v>3</v>
      </c>
      <c r="P10" s="8">
        <v>4</v>
      </c>
      <c r="Q10" s="8">
        <v>5</v>
      </c>
      <c r="R10" s="9">
        <v>6</v>
      </c>
    </row>
    <row r="11" spans="2:18" x14ac:dyDescent="0.25">
      <c r="B11" s="5" t="s">
        <v>4</v>
      </c>
      <c r="C11" s="3">
        <f>C3/E3</f>
        <v>6.6666666666666666E-2</v>
      </c>
      <c r="E11" s="5" t="s">
        <v>4</v>
      </c>
      <c r="F11" s="3">
        <f>E3-D3</f>
        <v>15</v>
      </c>
      <c r="H11" s="24" t="s">
        <v>4</v>
      </c>
      <c r="I11" s="3">
        <f>F11*C11</f>
        <v>1</v>
      </c>
      <c r="K11" s="5" t="s">
        <v>4</v>
      </c>
      <c r="L11" s="1">
        <f>L$10*$E3+$D3</f>
        <v>15</v>
      </c>
      <c r="M11" s="1">
        <f t="shared" ref="M11:R11" si="0">M$10*$E3+$D3</f>
        <v>45</v>
      </c>
      <c r="N11" s="1">
        <f t="shared" si="0"/>
        <v>75</v>
      </c>
      <c r="O11" s="1">
        <f t="shared" si="0"/>
        <v>105</v>
      </c>
      <c r="P11" s="1">
        <f t="shared" si="0"/>
        <v>135</v>
      </c>
      <c r="Q11" s="1">
        <f t="shared" si="0"/>
        <v>165</v>
      </c>
      <c r="R11" s="3">
        <f t="shared" si="0"/>
        <v>195</v>
      </c>
    </row>
    <row r="12" spans="2:18" x14ac:dyDescent="0.25">
      <c r="B12" s="5" t="s">
        <v>5</v>
      </c>
      <c r="C12" s="3">
        <f t="shared" ref="C12:C15" si="1">C4/E4</f>
        <v>0.13333333333333333</v>
      </c>
      <c r="E12" s="5" t="s">
        <v>5</v>
      </c>
      <c r="F12" s="3">
        <f t="shared" ref="F12:F15" si="2">E4-D4</f>
        <v>10</v>
      </c>
      <c r="H12" s="5" t="s">
        <v>5</v>
      </c>
      <c r="I12" s="3">
        <f t="shared" ref="I12:I15" si="3">F12*C12</f>
        <v>1.3333333333333333</v>
      </c>
      <c r="K12" s="5" t="s">
        <v>5</v>
      </c>
      <c r="L12" s="1">
        <f t="shared" ref="L12:R12" si="4">L$10*$E4+$D4</f>
        <v>20</v>
      </c>
      <c r="M12" s="1">
        <f t="shared" si="4"/>
        <v>50</v>
      </c>
      <c r="N12" s="1">
        <f t="shared" si="4"/>
        <v>80</v>
      </c>
      <c r="O12" s="1">
        <f t="shared" si="4"/>
        <v>110</v>
      </c>
      <c r="P12" s="1">
        <f t="shared" si="4"/>
        <v>140</v>
      </c>
      <c r="Q12" s="1">
        <f t="shared" si="4"/>
        <v>170</v>
      </c>
      <c r="R12" s="3">
        <f t="shared" si="4"/>
        <v>200</v>
      </c>
    </row>
    <row r="13" spans="2:18" x14ac:dyDescent="0.25">
      <c r="B13" s="5" t="s">
        <v>6</v>
      </c>
      <c r="C13" s="3">
        <f t="shared" si="1"/>
        <v>0.25</v>
      </c>
      <c r="E13" s="5" t="s">
        <v>6</v>
      </c>
      <c r="F13" s="3">
        <f t="shared" si="2"/>
        <v>5</v>
      </c>
      <c r="H13" s="5" t="s">
        <v>6</v>
      </c>
      <c r="I13" s="3">
        <f t="shared" si="3"/>
        <v>1.25</v>
      </c>
      <c r="K13" s="5" t="s">
        <v>6</v>
      </c>
      <c r="L13" s="1">
        <f t="shared" ref="L13:R13" si="5">L$10*$E5+$D5</f>
        <v>35</v>
      </c>
      <c r="M13" s="1">
        <f t="shared" si="5"/>
        <v>75</v>
      </c>
      <c r="N13" s="1">
        <f t="shared" si="5"/>
        <v>115</v>
      </c>
      <c r="O13" s="1">
        <f t="shared" si="5"/>
        <v>155</v>
      </c>
      <c r="P13" s="1">
        <f t="shared" si="5"/>
        <v>195</v>
      </c>
      <c r="Q13" s="1">
        <f t="shared" si="5"/>
        <v>235</v>
      </c>
      <c r="R13" s="3">
        <f t="shared" si="5"/>
        <v>275</v>
      </c>
    </row>
    <row r="14" spans="2:18" x14ac:dyDescent="0.25">
      <c r="B14" s="5" t="s">
        <v>7</v>
      </c>
      <c r="C14" s="3">
        <f t="shared" si="1"/>
        <v>0.42</v>
      </c>
      <c r="E14" s="5" t="s">
        <v>7</v>
      </c>
      <c r="F14" s="3">
        <f t="shared" si="2"/>
        <v>10</v>
      </c>
      <c r="H14" s="5" t="s">
        <v>7</v>
      </c>
      <c r="I14" s="3">
        <f t="shared" si="3"/>
        <v>4.2</v>
      </c>
      <c r="K14" s="5" t="s">
        <v>7</v>
      </c>
      <c r="L14" s="1">
        <f t="shared" ref="L14:R14" si="6">L$10*$E6+$D6</f>
        <v>40</v>
      </c>
      <c r="M14" s="1">
        <f t="shared" si="6"/>
        <v>90</v>
      </c>
      <c r="N14" s="1">
        <f t="shared" si="6"/>
        <v>140</v>
      </c>
      <c r="O14" s="1">
        <f t="shared" si="6"/>
        <v>190</v>
      </c>
      <c r="P14" s="1">
        <f t="shared" si="6"/>
        <v>240</v>
      </c>
      <c r="Q14" s="1">
        <f t="shared" si="6"/>
        <v>290</v>
      </c>
      <c r="R14" s="3">
        <f t="shared" si="6"/>
        <v>340</v>
      </c>
    </row>
    <row r="15" spans="2:18" x14ac:dyDescent="0.25">
      <c r="B15" s="5" t="s">
        <v>8</v>
      </c>
      <c r="C15" s="3">
        <f t="shared" si="1"/>
        <v>0.1</v>
      </c>
      <c r="E15" s="6" t="s">
        <v>8</v>
      </c>
      <c r="F15" s="4">
        <f t="shared" si="2"/>
        <v>0</v>
      </c>
      <c r="H15" s="5" t="s">
        <v>8</v>
      </c>
      <c r="I15" s="3">
        <f t="shared" si="3"/>
        <v>0</v>
      </c>
      <c r="K15" s="6" t="s">
        <v>8</v>
      </c>
      <c r="L15" s="2">
        <f t="shared" ref="L15:R15" si="7">L$10*$E7+$D7</f>
        <v>50</v>
      </c>
      <c r="M15" s="2">
        <f t="shared" si="7"/>
        <v>100</v>
      </c>
      <c r="N15" s="2">
        <f t="shared" si="7"/>
        <v>150</v>
      </c>
      <c r="O15" s="2">
        <f t="shared" si="7"/>
        <v>200</v>
      </c>
      <c r="P15" s="2">
        <f t="shared" si="7"/>
        <v>250</v>
      </c>
      <c r="Q15" s="2">
        <f t="shared" si="7"/>
        <v>300</v>
      </c>
      <c r="R15" s="4">
        <f t="shared" si="7"/>
        <v>350</v>
      </c>
    </row>
    <row r="16" spans="2:18" x14ac:dyDescent="0.25">
      <c r="B16" s="7" t="s">
        <v>264</v>
      </c>
      <c r="C16" s="9">
        <f>SUM(C11:C15)</f>
        <v>0.97</v>
      </c>
      <c r="H16" s="25" t="s">
        <v>268</v>
      </c>
      <c r="I16" s="26">
        <f>SUM(I11:I15)</f>
        <v>7.7833333333333332</v>
      </c>
    </row>
    <row r="17" spans="8:36" x14ac:dyDescent="0.25">
      <c r="H17" s="27" t="s">
        <v>265</v>
      </c>
      <c r="I17" s="28">
        <f>I16/(1-C16)</f>
        <v>259.44444444444423</v>
      </c>
      <c r="K17" s="7" t="s">
        <v>272</v>
      </c>
      <c r="L17" s="8">
        <v>15</v>
      </c>
      <c r="M17" s="8">
        <v>20</v>
      </c>
      <c r="N17" s="8">
        <v>35</v>
      </c>
      <c r="O17" s="8">
        <v>40</v>
      </c>
      <c r="P17" s="8">
        <v>45</v>
      </c>
      <c r="Q17" s="8">
        <v>50</v>
      </c>
      <c r="R17" s="8">
        <v>75</v>
      </c>
      <c r="S17" s="8">
        <v>80</v>
      </c>
      <c r="T17" s="8">
        <v>90</v>
      </c>
      <c r="U17" s="8">
        <v>100</v>
      </c>
      <c r="V17" s="8">
        <v>105</v>
      </c>
      <c r="W17" s="8">
        <v>110</v>
      </c>
      <c r="X17" s="8">
        <v>115</v>
      </c>
      <c r="Y17" s="8">
        <v>135</v>
      </c>
      <c r="Z17" s="8">
        <v>140</v>
      </c>
      <c r="AA17" s="8">
        <v>150</v>
      </c>
      <c r="AB17" s="8">
        <v>155</v>
      </c>
      <c r="AC17" s="8">
        <v>165</v>
      </c>
      <c r="AD17" s="8">
        <v>170</v>
      </c>
      <c r="AE17" s="8">
        <v>190</v>
      </c>
      <c r="AF17" s="8">
        <v>195</v>
      </c>
      <c r="AG17" s="8">
        <v>200</v>
      </c>
      <c r="AH17" s="8">
        <v>235</v>
      </c>
      <c r="AI17" s="8">
        <v>240</v>
      </c>
      <c r="AJ17" s="9">
        <v>250</v>
      </c>
    </row>
    <row r="18" spans="8:36" x14ac:dyDescent="0.25">
      <c r="K18" s="5" t="s">
        <v>4</v>
      </c>
      <c r="L18" s="1">
        <f>_xlfn.FLOOR.MATH((L$17+$F11)/$E3)*$C3</f>
        <v>2</v>
      </c>
      <c r="M18" s="1">
        <f>_xlfn.FLOOR.MATH((M$17+$F11)/$E3)*$C3</f>
        <v>2</v>
      </c>
      <c r="N18" s="1">
        <f>_xlfn.FLOOR.MATH((N$17+$F11)/$E3)*$C3</f>
        <v>2</v>
      </c>
      <c r="O18" s="1">
        <f t="shared" ref="O18:AI18" si="8">_xlfn.FLOOR.MATH((O$17+$F11)/$E3)*$C3</f>
        <v>2</v>
      </c>
      <c r="P18" s="1">
        <f t="shared" si="8"/>
        <v>4</v>
      </c>
      <c r="Q18" s="1">
        <f t="shared" si="8"/>
        <v>4</v>
      </c>
      <c r="R18" s="1">
        <f t="shared" si="8"/>
        <v>6</v>
      </c>
      <c r="S18" s="1">
        <f t="shared" si="8"/>
        <v>6</v>
      </c>
      <c r="T18" s="1">
        <f t="shared" si="8"/>
        <v>6</v>
      </c>
      <c r="U18" s="1">
        <f t="shared" si="8"/>
        <v>6</v>
      </c>
      <c r="V18" s="1">
        <f t="shared" si="8"/>
        <v>8</v>
      </c>
      <c r="W18" s="1">
        <f t="shared" si="8"/>
        <v>8</v>
      </c>
      <c r="X18" s="1">
        <f t="shared" si="8"/>
        <v>8</v>
      </c>
      <c r="Y18" s="1">
        <f t="shared" si="8"/>
        <v>10</v>
      </c>
      <c r="Z18" s="1">
        <f t="shared" si="8"/>
        <v>10</v>
      </c>
      <c r="AA18" s="1">
        <f t="shared" si="8"/>
        <v>10</v>
      </c>
      <c r="AB18" s="1">
        <f t="shared" si="8"/>
        <v>10</v>
      </c>
      <c r="AC18" s="1">
        <f t="shared" si="8"/>
        <v>12</v>
      </c>
      <c r="AD18" s="1">
        <f t="shared" si="8"/>
        <v>12</v>
      </c>
      <c r="AE18" s="1">
        <f t="shared" si="8"/>
        <v>12</v>
      </c>
      <c r="AF18" s="1">
        <f t="shared" si="8"/>
        <v>14</v>
      </c>
      <c r="AG18" s="1">
        <f t="shared" si="8"/>
        <v>14</v>
      </c>
      <c r="AH18" s="1">
        <f t="shared" si="8"/>
        <v>16</v>
      </c>
      <c r="AI18" s="1">
        <f t="shared" si="8"/>
        <v>16</v>
      </c>
      <c r="AJ18" s="3">
        <f>_xlfn.FLOOR.MATH((AJ$17+$F11)/$E3)*$C3</f>
        <v>16</v>
      </c>
    </row>
    <row r="19" spans="8:36" x14ac:dyDescent="0.25">
      <c r="K19" s="5" t="s">
        <v>5</v>
      </c>
      <c r="L19" s="1">
        <f t="shared" ref="L19:AJ19" si="9">_xlfn.FLOOR.MATH((L$17+$F12)/$E4)*$C4</f>
        <v>0</v>
      </c>
      <c r="M19" s="1">
        <f t="shared" si="9"/>
        <v>4</v>
      </c>
      <c r="N19" s="1">
        <f t="shared" si="9"/>
        <v>4</v>
      </c>
      <c r="O19" s="1">
        <f t="shared" si="9"/>
        <v>4</v>
      </c>
      <c r="P19" s="1">
        <f t="shared" si="9"/>
        <v>4</v>
      </c>
      <c r="Q19" s="1">
        <f t="shared" si="9"/>
        <v>8</v>
      </c>
      <c r="R19" s="1">
        <f t="shared" si="9"/>
        <v>8</v>
      </c>
      <c r="S19" s="1">
        <f t="shared" si="9"/>
        <v>12</v>
      </c>
      <c r="T19" s="1">
        <f t="shared" si="9"/>
        <v>12</v>
      </c>
      <c r="U19" s="1">
        <f t="shared" si="9"/>
        <v>12</v>
      </c>
      <c r="V19" s="1">
        <f t="shared" si="9"/>
        <v>12</v>
      </c>
      <c r="W19" s="1">
        <f t="shared" si="9"/>
        <v>16</v>
      </c>
      <c r="X19" s="1">
        <f t="shared" si="9"/>
        <v>16</v>
      </c>
      <c r="Y19" s="1">
        <f t="shared" si="9"/>
        <v>16</v>
      </c>
      <c r="Z19" s="1">
        <f t="shared" si="9"/>
        <v>20</v>
      </c>
      <c r="AA19" s="1">
        <f t="shared" si="9"/>
        <v>20</v>
      </c>
      <c r="AB19" s="1">
        <f t="shared" si="9"/>
        <v>20</v>
      </c>
      <c r="AC19" s="1">
        <f t="shared" si="9"/>
        <v>20</v>
      </c>
      <c r="AD19" s="1">
        <f t="shared" si="9"/>
        <v>24</v>
      </c>
      <c r="AE19" s="1">
        <f t="shared" si="9"/>
        <v>24</v>
      </c>
      <c r="AF19" s="1">
        <f t="shared" si="9"/>
        <v>24</v>
      </c>
      <c r="AG19" s="1">
        <f t="shared" si="9"/>
        <v>28</v>
      </c>
      <c r="AH19" s="1">
        <f t="shared" si="9"/>
        <v>32</v>
      </c>
      <c r="AI19" s="1">
        <f t="shared" si="9"/>
        <v>32</v>
      </c>
      <c r="AJ19" s="3">
        <f t="shared" si="9"/>
        <v>32</v>
      </c>
    </row>
    <row r="20" spans="8:36" x14ac:dyDescent="0.25">
      <c r="K20" s="5" t="s">
        <v>6</v>
      </c>
      <c r="L20" s="1">
        <f t="shared" ref="L20:AJ20" si="10">_xlfn.FLOOR.MATH((L$17+$F13)/$E5)*$C5</f>
        <v>0</v>
      </c>
      <c r="M20" s="1">
        <f t="shared" si="10"/>
        <v>0</v>
      </c>
      <c r="N20" s="1">
        <f t="shared" si="10"/>
        <v>10</v>
      </c>
      <c r="O20" s="1">
        <f t="shared" si="10"/>
        <v>10</v>
      </c>
      <c r="P20" s="1">
        <f t="shared" si="10"/>
        <v>10</v>
      </c>
      <c r="Q20" s="1">
        <f t="shared" si="10"/>
        <v>10</v>
      </c>
      <c r="R20" s="1">
        <f t="shared" si="10"/>
        <v>20</v>
      </c>
      <c r="S20" s="1">
        <f t="shared" si="10"/>
        <v>20</v>
      </c>
      <c r="T20" s="1">
        <f t="shared" si="10"/>
        <v>20</v>
      </c>
      <c r="U20" s="1">
        <f t="shared" si="10"/>
        <v>20</v>
      </c>
      <c r="V20" s="1">
        <f t="shared" si="10"/>
        <v>20</v>
      </c>
      <c r="W20" s="1">
        <f t="shared" si="10"/>
        <v>20</v>
      </c>
      <c r="X20" s="1">
        <f t="shared" si="10"/>
        <v>30</v>
      </c>
      <c r="Y20" s="1">
        <f t="shared" si="10"/>
        <v>30</v>
      </c>
      <c r="Z20" s="1">
        <f t="shared" si="10"/>
        <v>30</v>
      </c>
      <c r="AA20" s="1">
        <f t="shared" si="10"/>
        <v>30</v>
      </c>
      <c r="AB20" s="1">
        <f t="shared" si="10"/>
        <v>40</v>
      </c>
      <c r="AC20" s="1">
        <f t="shared" si="10"/>
        <v>40</v>
      </c>
      <c r="AD20" s="1">
        <f t="shared" si="10"/>
        <v>40</v>
      </c>
      <c r="AE20" s="1">
        <f t="shared" si="10"/>
        <v>40</v>
      </c>
      <c r="AF20" s="1">
        <f t="shared" si="10"/>
        <v>50</v>
      </c>
      <c r="AG20" s="1">
        <f t="shared" si="10"/>
        <v>50</v>
      </c>
      <c r="AH20" s="1">
        <f t="shared" si="10"/>
        <v>60</v>
      </c>
      <c r="AI20" s="1">
        <f t="shared" si="10"/>
        <v>60</v>
      </c>
      <c r="AJ20" s="3">
        <f t="shared" si="10"/>
        <v>60</v>
      </c>
    </row>
    <row r="21" spans="8:36" x14ac:dyDescent="0.25">
      <c r="K21" s="5" t="s">
        <v>7</v>
      </c>
      <c r="L21" s="1">
        <f t="shared" ref="L21:AI21" si="11">_xlfn.FLOOR.MATH((L$17+$F14)/$E6)*$C6</f>
        <v>0</v>
      </c>
      <c r="M21" s="1">
        <f t="shared" si="11"/>
        <v>0</v>
      </c>
      <c r="N21" s="1">
        <f t="shared" si="11"/>
        <v>0</v>
      </c>
      <c r="O21" s="1">
        <f t="shared" si="11"/>
        <v>21</v>
      </c>
      <c r="P21" s="1">
        <f t="shared" si="11"/>
        <v>21</v>
      </c>
      <c r="Q21" s="1">
        <f t="shared" si="11"/>
        <v>21</v>
      </c>
      <c r="R21" s="1">
        <f t="shared" si="11"/>
        <v>21</v>
      </c>
      <c r="S21" s="1">
        <f t="shared" si="11"/>
        <v>21</v>
      </c>
      <c r="T21" s="1">
        <f t="shared" si="11"/>
        <v>42</v>
      </c>
      <c r="U21" s="1">
        <f t="shared" si="11"/>
        <v>42</v>
      </c>
      <c r="V21" s="1">
        <f t="shared" si="11"/>
        <v>42</v>
      </c>
      <c r="W21" s="1">
        <f t="shared" si="11"/>
        <v>42</v>
      </c>
      <c r="X21" s="1">
        <f t="shared" si="11"/>
        <v>42</v>
      </c>
      <c r="Y21" s="1">
        <f t="shared" si="11"/>
        <v>42</v>
      </c>
      <c r="Z21" s="1">
        <f t="shared" si="11"/>
        <v>63</v>
      </c>
      <c r="AA21" s="1">
        <f t="shared" si="11"/>
        <v>63</v>
      </c>
      <c r="AB21" s="1">
        <f t="shared" si="11"/>
        <v>63</v>
      </c>
      <c r="AC21" s="1">
        <f t="shared" si="11"/>
        <v>63</v>
      </c>
      <c r="AD21" s="1">
        <f t="shared" si="11"/>
        <v>63</v>
      </c>
      <c r="AE21" s="1">
        <f t="shared" si="11"/>
        <v>84</v>
      </c>
      <c r="AF21" s="1">
        <f t="shared" si="11"/>
        <v>84</v>
      </c>
      <c r="AG21" s="1">
        <f t="shared" si="11"/>
        <v>84</v>
      </c>
      <c r="AH21" s="1">
        <f t="shared" si="11"/>
        <v>84</v>
      </c>
      <c r="AI21" s="1">
        <f t="shared" si="11"/>
        <v>105</v>
      </c>
      <c r="AJ21" s="3">
        <f>_xlfn.FLOOR.MATH((AJ$17+$F14)/$E6)*$C6</f>
        <v>105</v>
      </c>
    </row>
    <row r="22" spans="8:36" x14ac:dyDescent="0.25">
      <c r="K22" s="5" t="s">
        <v>8</v>
      </c>
      <c r="L22" s="1">
        <f t="shared" ref="L22:AJ22" si="12">_xlfn.FLOOR.MATH((L$17+$F15)/$E7)*$C7</f>
        <v>0</v>
      </c>
      <c r="M22" s="1">
        <f t="shared" si="12"/>
        <v>0</v>
      </c>
      <c r="N22" s="1">
        <f t="shared" si="12"/>
        <v>0</v>
      </c>
      <c r="O22" s="1">
        <f t="shared" si="12"/>
        <v>0</v>
      </c>
      <c r="P22" s="1">
        <f t="shared" si="12"/>
        <v>0</v>
      </c>
      <c r="Q22" s="1">
        <f t="shared" si="12"/>
        <v>5</v>
      </c>
      <c r="R22" s="1">
        <f t="shared" si="12"/>
        <v>5</v>
      </c>
      <c r="S22" s="1">
        <f t="shared" si="12"/>
        <v>5</v>
      </c>
      <c r="T22" s="1">
        <f t="shared" si="12"/>
        <v>5</v>
      </c>
      <c r="U22" s="1">
        <f t="shared" si="12"/>
        <v>10</v>
      </c>
      <c r="V22" s="1">
        <f t="shared" si="12"/>
        <v>10</v>
      </c>
      <c r="W22" s="1">
        <f t="shared" si="12"/>
        <v>10</v>
      </c>
      <c r="X22" s="1">
        <f t="shared" si="12"/>
        <v>10</v>
      </c>
      <c r="Y22" s="1">
        <f t="shared" si="12"/>
        <v>10</v>
      </c>
      <c r="Z22" s="1">
        <f t="shared" si="12"/>
        <v>10</v>
      </c>
      <c r="AA22" s="1">
        <f t="shared" si="12"/>
        <v>15</v>
      </c>
      <c r="AB22" s="1">
        <f t="shared" si="12"/>
        <v>15</v>
      </c>
      <c r="AC22" s="1">
        <f t="shared" si="12"/>
        <v>15</v>
      </c>
      <c r="AD22" s="1">
        <f t="shared" si="12"/>
        <v>15</v>
      </c>
      <c r="AE22" s="1">
        <f t="shared" si="12"/>
        <v>15</v>
      </c>
      <c r="AF22" s="1">
        <f t="shared" si="12"/>
        <v>15</v>
      </c>
      <c r="AG22" s="1">
        <f t="shared" si="12"/>
        <v>20</v>
      </c>
      <c r="AH22" s="1">
        <f t="shared" si="12"/>
        <v>20</v>
      </c>
      <c r="AI22" s="1">
        <f t="shared" si="12"/>
        <v>20</v>
      </c>
      <c r="AJ22" s="3">
        <f t="shared" si="12"/>
        <v>25</v>
      </c>
    </row>
    <row r="23" spans="8:36" x14ac:dyDescent="0.25">
      <c r="K23" s="25" t="s">
        <v>271</v>
      </c>
      <c r="L23" s="29">
        <f>SUM(L$18:L$22)</f>
        <v>2</v>
      </c>
      <c r="M23" s="29">
        <f t="shared" ref="M23:AJ23" si="13">SUM(M$18:M$22)</f>
        <v>6</v>
      </c>
      <c r="N23" s="29">
        <f t="shared" si="13"/>
        <v>16</v>
      </c>
      <c r="O23" s="29">
        <f t="shared" si="13"/>
        <v>37</v>
      </c>
      <c r="P23" s="29">
        <f t="shared" si="13"/>
        <v>39</v>
      </c>
      <c r="Q23" s="29">
        <f t="shared" si="13"/>
        <v>48</v>
      </c>
      <c r="R23" s="29">
        <f t="shared" si="13"/>
        <v>60</v>
      </c>
      <c r="S23" s="29">
        <f t="shared" si="13"/>
        <v>64</v>
      </c>
      <c r="T23" s="29">
        <f t="shared" si="13"/>
        <v>85</v>
      </c>
      <c r="U23" s="29">
        <f t="shared" si="13"/>
        <v>90</v>
      </c>
      <c r="V23" s="29">
        <f t="shared" si="13"/>
        <v>92</v>
      </c>
      <c r="W23" s="29">
        <f t="shared" si="13"/>
        <v>96</v>
      </c>
      <c r="X23" s="29">
        <f t="shared" si="13"/>
        <v>106</v>
      </c>
      <c r="Y23" s="29">
        <f t="shared" si="13"/>
        <v>108</v>
      </c>
      <c r="Z23" s="29">
        <f t="shared" si="13"/>
        <v>133</v>
      </c>
      <c r="AA23" s="29">
        <f t="shared" si="13"/>
        <v>138</v>
      </c>
      <c r="AB23" s="29">
        <f t="shared" si="13"/>
        <v>148</v>
      </c>
      <c r="AC23" s="29">
        <f t="shared" si="13"/>
        <v>150</v>
      </c>
      <c r="AD23" s="29">
        <f t="shared" si="13"/>
        <v>154</v>
      </c>
      <c r="AE23" s="29">
        <f t="shared" si="13"/>
        <v>175</v>
      </c>
      <c r="AF23" s="29">
        <f t="shared" si="13"/>
        <v>187</v>
      </c>
      <c r="AG23" s="29">
        <f t="shared" si="13"/>
        <v>196</v>
      </c>
      <c r="AH23" s="29">
        <f t="shared" si="13"/>
        <v>212</v>
      </c>
      <c r="AI23" s="29">
        <f t="shared" si="13"/>
        <v>233</v>
      </c>
      <c r="AJ23" s="26">
        <f t="shared" si="13"/>
        <v>238</v>
      </c>
    </row>
    <row r="24" spans="8:36" x14ac:dyDescent="0.25">
      <c r="K24" s="6" t="s">
        <v>273</v>
      </c>
      <c r="L24" s="2" t="b">
        <f>L23&lt;L17</f>
        <v>1</v>
      </c>
      <c r="M24" s="2" t="b">
        <f t="shared" ref="M24:AJ24" si="14">M23&lt;M17</f>
        <v>1</v>
      </c>
      <c r="N24" s="2" t="b">
        <f t="shared" si="14"/>
        <v>1</v>
      </c>
      <c r="O24" s="2" t="b">
        <f t="shared" si="14"/>
        <v>1</v>
      </c>
      <c r="P24" s="2" t="b">
        <f t="shared" si="14"/>
        <v>1</v>
      </c>
      <c r="Q24" s="2" t="b">
        <f t="shared" si="14"/>
        <v>1</v>
      </c>
      <c r="R24" s="2" t="b">
        <f t="shared" si="14"/>
        <v>1</v>
      </c>
      <c r="S24" s="2" t="b">
        <f t="shared" si="14"/>
        <v>1</v>
      </c>
      <c r="T24" s="2" t="b">
        <f t="shared" si="14"/>
        <v>1</v>
      </c>
      <c r="U24" s="2" t="b">
        <f t="shared" si="14"/>
        <v>1</v>
      </c>
      <c r="V24" s="2" t="b">
        <f t="shared" si="14"/>
        <v>1</v>
      </c>
      <c r="W24" s="2" t="b">
        <f t="shared" si="14"/>
        <v>1</v>
      </c>
      <c r="X24" s="2" t="b">
        <f t="shared" si="14"/>
        <v>1</v>
      </c>
      <c r="Y24" s="2" t="b">
        <f t="shared" si="14"/>
        <v>1</v>
      </c>
      <c r="Z24" s="2" t="b">
        <f t="shared" si="14"/>
        <v>1</v>
      </c>
      <c r="AA24" s="2" t="b">
        <f t="shared" si="14"/>
        <v>1</v>
      </c>
      <c r="AB24" s="2" t="b">
        <f t="shared" si="14"/>
        <v>1</v>
      </c>
      <c r="AC24" s="2" t="b">
        <f t="shared" si="14"/>
        <v>1</v>
      </c>
      <c r="AD24" s="2" t="b">
        <f t="shared" si="14"/>
        <v>1</v>
      </c>
      <c r="AE24" s="2" t="b">
        <f t="shared" si="14"/>
        <v>1</v>
      </c>
      <c r="AF24" s="2" t="b">
        <f t="shared" si="14"/>
        <v>1</v>
      </c>
      <c r="AG24" s="2" t="b">
        <f t="shared" si="14"/>
        <v>1</v>
      </c>
      <c r="AH24" s="2" t="b">
        <f t="shared" si="14"/>
        <v>1</v>
      </c>
      <c r="AI24" s="2" t="b">
        <f t="shared" si="14"/>
        <v>1</v>
      </c>
      <c r="AJ24" s="4" t="b">
        <f t="shared" si="14"/>
        <v>1</v>
      </c>
    </row>
  </sheetData>
  <sortState xmlns:xlrd2="http://schemas.microsoft.com/office/spreadsheetml/2017/richdata2" ref="B20:B44">
    <sortCondition ref="B20:B44"/>
  </sortState>
  <mergeCells count="3">
    <mergeCell ref="B10:C10"/>
    <mergeCell ref="E10:F10"/>
    <mergeCell ref="H10:I10"/>
  </mergeCells>
  <phoneticPr fontId="3" type="noConversion"/>
  <conditionalFormatting sqref="B37:B40">
    <cfRule type="cellIs" dxfId="2" priority="6" operator="greaterThan">
      <formula>$H$4</formula>
    </cfRule>
  </conditionalFormatting>
  <conditionalFormatting sqref="L11:R15 B27:B36 B41:B44">
    <cfRule type="cellIs" dxfId="1" priority="10" stopIfTrue="1" operator="greaterThan">
      <formula>$H$4</formula>
    </cfRule>
  </conditionalFormatting>
  <conditionalFormatting sqref="L17:AJ17">
    <cfRule type="cellIs" dxfId="0" priority="1" operator="greaterThan">
      <formula>$H$4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070B-9DD5-344C-BCBE-4963A2FE673C}">
  <dimension ref="A1:LI34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G24" sqref="G24"/>
    </sheetView>
  </sheetViews>
  <sheetFormatPr baseColWidth="10" defaultRowHeight="19" x14ac:dyDescent="0.25"/>
  <cols>
    <col min="1" max="1" width="11.33203125" style="11" bestFit="1" customWidth="1"/>
    <col min="2" max="10" width="5.1640625" style="42" bestFit="1" customWidth="1"/>
    <col min="11" max="100" width="6.33203125" style="42" bestFit="1" customWidth="1"/>
    <col min="101" max="250" width="7.5" style="42" bestFit="1" customWidth="1"/>
    <col min="251" max="251" width="7.5" style="16" bestFit="1" customWidth="1"/>
    <col min="252" max="16384" width="10.83203125" style="1"/>
  </cols>
  <sheetData>
    <row r="1" spans="1:321" s="10" customFormat="1" ht="20" thickBot="1" x14ac:dyDescent="0.3">
      <c r="A1" s="12" t="s">
        <v>261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10" t="s">
        <v>19</v>
      </c>
      <c r="M1" s="10" t="s">
        <v>20</v>
      </c>
      <c r="N1" s="10" t="s">
        <v>21</v>
      </c>
      <c r="O1" s="10" t="s">
        <v>22</v>
      </c>
      <c r="P1" s="10" t="s">
        <v>23</v>
      </c>
      <c r="Q1" s="10" t="s">
        <v>24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29</v>
      </c>
      <c r="W1" s="10" t="s">
        <v>30</v>
      </c>
      <c r="X1" s="10" t="s">
        <v>31</v>
      </c>
      <c r="Y1" s="10" t="s">
        <v>32</v>
      </c>
      <c r="Z1" s="10" t="s">
        <v>33</v>
      </c>
      <c r="AA1" s="10" t="s">
        <v>34</v>
      </c>
      <c r="AB1" s="10" t="s">
        <v>35</v>
      </c>
      <c r="AC1" s="10" t="s">
        <v>36</v>
      </c>
      <c r="AD1" s="10" t="s">
        <v>37</v>
      </c>
      <c r="AE1" s="10" t="s">
        <v>38</v>
      </c>
      <c r="AF1" s="10" t="s">
        <v>39</v>
      </c>
      <c r="AG1" s="10" t="s">
        <v>40</v>
      </c>
      <c r="AH1" s="10" t="s">
        <v>41</v>
      </c>
      <c r="AI1" s="10" t="s">
        <v>42</v>
      </c>
      <c r="AJ1" s="10" t="s">
        <v>43</v>
      </c>
      <c r="AK1" s="10" t="s">
        <v>44</v>
      </c>
      <c r="AL1" s="10" t="s">
        <v>45</v>
      </c>
      <c r="AM1" s="10" t="s">
        <v>46</v>
      </c>
      <c r="AN1" s="10" t="s">
        <v>47</v>
      </c>
      <c r="AO1" s="10" t="s">
        <v>48</v>
      </c>
      <c r="AP1" s="10" t="s">
        <v>49</v>
      </c>
      <c r="AQ1" s="10" t="s">
        <v>50</v>
      </c>
      <c r="AR1" s="10" t="s">
        <v>51</v>
      </c>
      <c r="AS1" s="10" t="s">
        <v>52</v>
      </c>
      <c r="AT1" s="10" t="s">
        <v>53</v>
      </c>
      <c r="AU1" s="10" t="s">
        <v>54</v>
      </c>
      <c r="AV1" s="10" t="s">
        <v>55</v>
      </c>
      <c r="AW1" s="10" t="s">
        <v>56</v>
      </c>
      <c r="AX1" s="10" t="s">
        <v>57</v>
      </c>
      <c r="AY1" s="10" t="s">
        <v>58</v>
      </c>
      <c r="AZ1" s="10" t="s">
        <v>61</v>
      </c>
      <c r="BA1" s="10" t="s">
        <v>62</v>
      </c>
      <c r="BB1" s="10" t="s">
        <v>63</v>
      </c>
      <c r="BC1" s="10" t="s">
        <v>64</v>
      </c>
      <c r="BD1" s="10" t="s">
        <v>65</v>
      </c>
      <c r="BE1" s="10" t="s">
        <v>66</v>
      </c>
      <c r="BF1" s="10" t="s">
        <v>67</v>
      </c>
      <c r="BG1" s="10" t="s">
        <v>68</v>
      </c>
      <c r="BH1" s="10" t="s">
        <v>69</v>
      </c>
      <c r="BI1" s="10" t="s">
        <v>70</v>
      </c>
      <c r="BJ1" s="10" t="s">
        <v>71</v>
      </c>
      <c r="BK1" s="10" t="s">
        <v>72</v>
      </c>
      <c r="BL1" s="10" t="s">
        <v>73</v>
      </c>
      <c r="BM1" s="10" t="s">
        <v>74</v>
      </c>
      <c r="BN1" s="10" t="s">
        <v>75</v>
      </c>
      <c r="BO1" s="10" t="s">
        <v>76</v>
      </c>
      <c r="BP1" s="10" t="s">
        <v>77</v>
      </c>
      <c r="BQ1" s="10" t="s">
        <v>78</v>
      </c>
      <c r="BR1" s="10" t="s">
        <v>79</v>
      </c>
      <c r="BS1" s="10" t="s">
        <v>80</v>
      </c>
      <c r="BT1" s="10" t="s">
        <v>81</v>
      </c>
      <c r="BU1" s="10" t="s">
        <v>82</v>
      </c>
      <c r="BV1" s="10" t="s">
        <v>83</v>
      </c>
      <c r="BW1" s="10" t="s">
        <v>84</v>
      </c>
      <c r="BX1" s="10" t="s">
        <v>85</v>
      </c>
      <c r="BY1" s="10" t="s">
        <v>86</v>
      </c>
      <c r="BZ1" s="10" t="s">
        <v>87</v>
      </c>
      <c r="CA1" s="10" t="s">
        <v>88</v>
      </c>
      <c r="CB1" s="10" t="s">
        <v>89</v>
      </c>
      <c r="CC1" s="10" t="s">
        <v>90</v>
      </c>
      <c r="CD1" s="10" t="s">
        <v>91</v>
      </c>
      <c r="CE1" s="10" t="s">
        <v>92</v>
      </c>
      <c r="CF1" s="10" t="s">
        <v>93</v>
      </c>
      <c r="CG1" s="10" t="s">
        <v>94</v>
      </c>
      <c r="CH1" s="10" t="s">
        <v>95</v>
      </c>
      <c r="CI1" s="10" t="s">
        <v>96</v>
      </c>
      <c r="CJ1" s="10" t="s">
        <v>97</v>
      </c>
      <c r="CK1" s="10" t="s">
        <v>98</v>
      </c>
      <c r="CL1" s="10" t="s">
        <v>99</v>
      </c>
      <c r="CM1" s="10" t="s">
        <v>100</v>
      </c>
      <c r="CN1" s="10" t="s">
        <v>101</v>
      </c>
      <c r="CO1" s="10" t="s">
        <v>102</v>
      </c>
      <c r="CP1" s="10" t="s">
        <v>103</v>
      </c>
      <c r="CQ1" s="10" t="s">
        <v>104</v>
      </c>
      <c r="CR1" s="10" t="s">
        <v>105</v>
      </c>
      <c r="CS1" s="10" t="s">
        <v>106</v>
      </c>
      <c r="CT1" s="10" t="s">
        <v>107</v>
      </c>
      <c r="CU1" s="10" t="s">
        <v>108</v>
      </c>
      <c r="CV1" s="10" t="s">
        <v>109</v>
      </c>
      <c r="CW1" s="10" t="s">
        <v>110</v>
      </c>
      <c r="CX1" s="10" t="s">
        <v>111</v>
      </c>
      <c r="CY1" s="10" t="s">
        <v>112</v>
      </c>
      <c r="CZ1" s="10" t="s">
        <v>113</v>
      </c>
      <c r="DA1" s="10" t="s">
        <v>114</v>
      </c>
      <c r="DB1" s="10" t="s">
        <v>115</v>
      </c>
      <c r="DC1" s="10" t="s">
        <v>116</v>
      </c>
      <c r="DD1" s="10" t="s">
        <v>117</v>
      </c>
      <c r="DE1" s="10" t="s">
        <v>118</v>
      </c>
      <c r="DF1" s="10" t="s">
        <v>119</v>
      </c>
      <c r="DG1" s="10" t="s">
        <v>120</v>
      </c>
      <c r="DH1" s="10" t="s">
        <v>121</v>
      </c>
      <c r="DI1" s="10" t="s">
        <v>122</v>
      </c>
      <c r="DJ1" s="10" t="s">
        <v>123</v>
      </c>
      <c r="DK1" s="10" t="s">
        <v>124</v>
      </c>
      <c r="DL1" s="10" t="s">
        <v>125</v>
      </c>
      <c r="DM1" s="10" t="s">
        <v>126</v>
      </c>
      <c r="DN1" s="10" t="s">
        <v>127</v>
      </c>
      <c r="DO1" s="10" t="s">
        <v>128</v>
      </c>
      <c r="DP1" s="10" t="s">
        <v>129</v>
      </c>
      <c r="DQ1" s="10" t="s">
        <v>130</v>
      </c>
      <c r="DR1" s="10" t="s">
        <v>131</v>
      </c>
      <c r="DS1" s="10" t="s">
        <v>132</v>
      </c>
      <c r="DT1" s="10" t="s">
        <v>133</v>
      </c>
      <c r="DU1" s="10" t="s">
        <v>134</v>
      </c>
      <c r="DV1" s="10" t="s">
        <v>135</v>
      </c>
      <c r="DW1" s="10" t="s">
        <v>136</v>
      </c>
      <c r="DX1" s="10" t="s">
        <v>137</v>
      </c>
      <c r="DY1" s="10" t="s">
        <v>138</v>
      </c>
      <c r="DZ1" s="10" t="s">
        <v>139</v>
      </c>
      <c r="EA1" s="10" t="s">
        <v>140</v>
      </c>
      <c r="EB1" s="10" t="s">
        <v>141</v>
      </c>
      <c r="EC1" s="10" t="s">
        <v>142</v>
      </c>
      <c r="ED1" s="10" t="s">
        <v>143</v>
      </c>
      <c r="EE1" s="10" t="s">
        <v>144</v>
      </c>
      <c r="EF1" s="10" t="s">
        <v>145</v>
      </c>
      <c r="EG1" s="10" t="s">
        <v>146</v>
      </c>
      <c r="EH1" s="10" t="s">
        <v>147</v>
      </c>
      <c r="EI1" s="10" t="s">
        <v>148</v>
      </c>
      <c r="EJ1" s="10" t="s">
        <v>149</v>
      </c>
      <c r="EK1" s="10" t="s">
        <v>150</v>
      </c>
      <c r="EL1" s="10" t="s">
        <v>151</v>
      </c>
      <c r="EM1" s="10" t="s">
        <v>152</v>
      </c>
      <c r="EN1" s="10" t="s">
        <v>153</v>
      </c>
      <c r="EO1" s="10" t="s">
        <v>154</v>
      </c>
      <c r="EP1" s="10" t="s">
        <v>155</v>
      </c>
      <c r="EQ1" s="10" t="s">
        <v>156</v>
      </c>
      <c r="ER1" s="10" t="s">
        <v>157</v>
      </c>
      <c r="ES1" s="10" t="s">
        <v>158</v>
      </c>
      <c r="ET1" s="10" t="s">
        <v>159</v>
      </c>
      <c r="EU1" s="10" t="s">
        <v>160</v>
      </c>
      <c r="EV1" s="10" t="s">
        <v>161</v>
      </c>
      <c r="EW1" s="10" t="s">
        <v>162</v>
      </c>
      <c r="EX1" s="10" t="s">
        <v>163</v>
      </c>
      <c r="EY1" s="10" t="s">
        <v>164</v>
      </c>
      <c r="EZ1" s="10" t="s">
        <v>165</v>
      </c>
      <c r="FA1" s="10" t="s">
        <v>166</v>
      </c>
      <c r="FB1" s="10" t="s">
        <v>167</v>
      </c>
      <c r="FC1" s="10" t="s">
        <v>168</v>
      </c>
      <c r="FD1" s="10" t="s">
        <v>169</v>
      </c>
      <c r="FE1" s="10" t="s">
        <v>170</v>
      </c>
      <c r="FF1" s="10" t="s">
        <v>171</v>
      </c>
      <c r="FG1" s="10" t="s">
        <v>172</v>
      </c>
      <c r="FH1" s="10" t="s">
        <v>173</v>
      </c>
      <c r="FI1" s="10" t="s">
        <v>174</v>
      </c>
      <c r="FJ1" s="10" t="s">
        <v>175</v>
      </c>
      <c r="FK1" s="10" t="s">
        <v>176</v>
      </c>
      <c r="FL1" s="10" t="s">
        <v>177</v>
      </c>
      <c r="FM1" s="10" t="s">
        <v>178</v>
      </c>
      <c r="FN1" s="10" t="s">
        <v>179</v>
      </c>
      <c r="FO1" s="10" t="s">
        <v>180</v>
      </c>
      <c r="FP1" s="10" t="s">
        <v>181</v>
      </c>
      <c r="FQ1" s="10" t="s">
        <v>182</v>
      </c>
      <c r="FR1" s="10" t="s">
        <v>183</v>
      </c>
      <c r="FS1" s="10" t="s">
        <v>184</v>
      </c>
      <c r="FT1" s="10" t="s">
        <v>185</v>
      </c>
      <c r="FU1" s="10" t="s">
        <v>186</v>
      </c>
      <c r="FV1" s="10" t="s">
        <v>187</v>
      </c>
      <c r="FW1" s="10" t="s">
        <v>188</v>
      </c>
      <c r="FX1" s="10" t="s">
        <v>189</v>
      </c>
      <c r="FY1" s="10" t="s">
        <v>190</v>
      </c>
      <c r="FZ1" s="10" t="s">
        <v>191</v>
      </c>
      <c r="GA1" s="10" t="s">
        <v>192</v>
      </c>
      <c r="GB1" s="10" t="s">
        <v>193</v>
      </c>
      <c r="GC1" s="10" t="s">
        <v>194</v>
      </c>
      <c r="GD1" s="10" t="s">
        <v>195</v>
      </c>
      <c r="GE1" s="10" t="s">
        <v>196</v>
      </c>
      <c r="GF1" s="10" t="s">
        <v>197</v>
      </c>
      <c r="GG1" s="10" t="s">
        <v>198</v>
      </c>
      <c r="GH1" s="10" t="s">
        <v>199</v>
      </c>
      <c r="GI1" s="10" t="s">
        <v>200</v>
      </c>
      <c r="GJ1" s="10" t="s">
        <v>201</v>
      </c>
      <c r="GK1" s="10" t="s">
        <v>202</v>
      </c>
      <c r="GL1" s="10" t="s">
        <v>203</v>
      </c>
      <c r="GM1" s="10" t="s">
        <v>204</v>
      </c>
      <c r="GN1" s="10" t="s">
        <v>205</v>
      </c>
      <c r="GO1" s="10" t="s">
        <v>206</v>
      </c>
      <c r="GP1" s="10" t="s">
        <v>207</v>
      </c>
      <c r="GQ1" s="10" t="s">
        <v>208</v>
      </c>
      <c r="GR1" s="10" t="s">
        <v>209</v>
      </c>
      <c r="GS1" s="10" t="s">
        <v>210</v>
      </c>
      <c r="GT1" s="10" t="s">
        <v>211</v>
      </c>
      <c r="GU1" s="10" t="s">
        <v>212</v>
      </c>
      <c r="GV1" s="10" t="s">
        <v>213</v>
      </c>
      <c r="GW1" s="10" t="s">
        <v>214</v>
      </c>
      <c r="GX1" s="10" t="s">
        <v>215</v>
      </c>
      <c r="GY1" s="10" t="s">
        <v>216</v>
      </c>
      <c r="GZ1" s="10" t="s">
        <v>217</v>
      </c>
      <c r="HA1" s="10" t="s">
        <v>218</v>
      </c>
      <c r="HB1" s="10" t="s">
        <v>219</v>
      </c>
      <c r="HC1" s="10" t="s">
        <v>220</v>
      </c>
      <c r="HD1" s="10" t="s">
        <v>221</v>
      </c>
      <c r="HE1" s="10" t="s">
        <v>222</v>
      </c>
      <c r="HF1" s="10" t="s">
        <v>223</v>
      </c>
      <c r="HG1" s="10" t="s">
        <v>224</v>
      </c>
      <c r="HH1" s="10" t="s">
        <v>225</v>
      </c>
      <c r="HI1" s="10" t="s">
        <v>226</v>
      </c>
      <c r="HJ1" s="10" t="s">
        <v>227</v>
      </c>
      <c r="HK1" s="10" t="s">
        <v>228</v>
      </c>
      <c r="HL1" s="10" t="s">
        <v>229</v>
      </c>
      <c r="HM1" s="10" t="s">
        <v>230</v>
      </c>
      <c r="HN1" s="10" t="s">
        <v>231</v>
      </c>
      <c r="HO1" s="10" t="s">
        <v>232</v>
      </c>
      <c r="HP1" s="10" t="s">
        <v>233</v>
      </c>
      <c r="HQ1" s="10" t="s">
        <v>234</v>
      </c>
      <c r="HR1" s="10" t="s">
        <v>235</v>
      </c>
      <c r="HS1" s="10" t="s">
        <v>236</v>
      </c>
      <c r="HT1" s="10" t="s">
        <v>237</v>
      </c>
      <c r="HU1" s="10" t="s">
        <v>238</v>
      </c>
      <c r="HV1" s="10" t="s">
        <v>239</v>
      </c>
      <c r="HW1" s="10" t="s">
        <v>240</v>
      </c>
      <c r="HX1" s="10" t="s">
        <v>241</v>
      </c>
      <c r="HY1" s="10" t="s">
        <v>242</v>
      </c>
      <c r="HZ1" s="10" t="s">
        <v>243</v>
      </c>
      <c r="IA1" s="10" t="s">
        <v>244</v>
      </c>
      <c r="IB1" s="10" t="s">
        <v>245</v>
      </c>
      <c r="IC1" s="10" t="s">
        <v>246</v>
      </c>
      <c r="ID1" s="10" t="s">
        <v>247</v>
      </c>
      <c r="IE1" s="10" t="s">
        <v>248</v>
      </c>
      <c r="IF1" s="10" t="s">
        <v>249</v>
      </c>
      <c r="IG1" s="10" t="s">
        <v>250</v>
      </c>
      <c r="IH1" s="10" t="s">
        <v>251</v>
      </c>
      <c r="II1" s="10" t="s">
        <v>252</v>
      </c>
      <c r="IJ1" s="10" t="s">
        <v>253</v>
      </c>
      <c r="IK1" s="10" t="s">
        <v>254</v>
      </c>
      <c r="IL1" s="10" t="s">
        <v>255</v>
      </c>
      <c r="IM1" s="10" t="s">
        <v>256</v>
      </c>
      <c r="IN1" s="10" t="s">
        <v>257</v>
      </c>
      <c r="IO1" s="10" t="s">
        <v>258</v>
      </c>
      <c r="IP1" s="10" t="s">
        <v>259</v>
      </c>
      <c r="IQ1" s="18" t="s">
        <v>260</v>
      </c>
    </row>
    <row r="2" spans="1:321" s="43" customFormat="1" ht="20" thickBot="1" x14ac:dyDescent="0.3">
      <c r="A2" s="12" t="s">
        <v>59</v>
      </c>
      <c r="IQ2" s="44"/>
    </row>
    <row r="3" spans="1:321" x14ac:dyDescent="0.25">
      <c r="A3" s="20" t="s">
        <v>4</v>
      </c>
    </row>
    <row r="4" spans="1:321" x14ac:dyDescent="0.25">
      <c r="A4" s="19" t="s">
        <v>5</v>
      </c>
    </row>
    <row r="5" spans="1:321" x14ac:dyDescent="0.25">
      <c r="A5" s="21" t="s">
        <v>6</v>
      </c>
    </row>
    <row r="6" spans="1:321" x14ac:dyDescent="0.25">
      <c r="A6" s="15" t="s">
        <v>7</v>
      </c>
    </row>
    <row r="7" spans="1:321" s="14" customFormat="1" ht="20" thickBot="1" x14ac:dyDescent="0.3">
      <c r="A7" s="22" t="s">
        <v>8</v>
      </c>
      <c r="IQ7" s="17"/>
    </row>
    <row r="8" spans="1:321" s="43" customFormat="1" ht="20" thickBot="1" x14ac:dyDescent="0.3">
      <c r="A8" s="12" t="s">
        <v>60</v>
      </c>
      <c r="B8" s="99"/>
      <c r="IQ8" s="44"/>
    </row>
    <row r="9" spans="1:321" s="6" customFormat="1" x14ac:dyDescent="0.25">
      <c r="A9" s="20" t="s">
        <v>4</v>
      </c>
      <c r="B9" s="101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60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60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75"/>
      <c r="EW9" s="75"/>
      <c r="EX9" s="75"/>
      <c r="EY9" s="75"/>
      <c r="EZ9" s="75"/>
      <c r="FA9" s="75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75"/>
      <c r="FM9" s="75"/>
      <c r="FN9" s="75"/>
      <c r="FO9" s="75"/>
      <c r="FP9" s="75"/>
      <c r="FQ9" s="75"/>
      <c r="FR9" s="75"/>
      <c r="FS9" s="75"/>
      <c r="FT9" s="75"/>
      <c r="FU9" s="75"/>
      <c r="FV9" s="75"/>
      <c r="FW9" s="75"/>
      <c r="FX9" s="75"/>
      <c r="FY9" s="75"/>
      <c r="FZ9" s="60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75"/>
      <c r="HE9" s="75"/>
      <c r="HF9" s="75"/>
      <c r="HG9" s="75"/>
      <c r="HH9" s="75"/>
      <c r="HI9" s="75"/>
      <c r="HJ9" s="75"/>
      <c r="HK9" s="75"/>
      <c r="HL9" s="75"/>
      <c r="HM9" s="75"/>
      <c r="HN9" s="75"/>
      <c r="HO9" s="75"/>
      <c r="HP9" s="75"/>
      <c r="HQ9" s="75"/>
      <c r="HR9" s="75"/>
      <c r="HS9" s="75"/>
      <c r="HT9" s="75"/>
      <c r="HU9" s="75"/>
      <c r="HV9" s="75"/>
      <c r="HW9" s="75"/>
      <c r="HX9" s="75"/>
      <c r="HY9" s="75"/>
      <c r="HZ9" s="75"/>
      <c r="IA9" s="75"/>
      <c r="IB9" s="75"/>
      <c r="IC9" s="75"/>
      <c r="ID9" s="75"/>
      <c r="IE9" s="75"/>
      <c r="IF9" s="75"/>
      <c r="IG9" s="75"/>
      <c r="IH9" s="60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75"/>
      <c r="JM9" s="75"/>
      <c r="JN9" s="75"/>
      <c r="JO9" s="75"/>
      <c r="JP9" s="75"/>
      <c r="JQ9" s="75"/>
      <c r="JR9" s="75"/>
      <c r="JS9" s="75"/>
      <c r="JT9" s="75"/>
      <c r="JU9" s="75"/>
      <c r="JV9" s="75"/>
      <c r="JW9" s="75"/>
      <c r="JX9" s="75"/>
      <c r="JY9" s="75"/>
      <c r="JZ9" s="75"/>
      <c r="KA9" s="75"/>
      <c r="KB9" s="75"/>
      <c r="KC9" s="75"/>
      <c r="KD9" s="75"/>
      <c r="KE9" s="75"/>
      <c r="KF9" s="75"/>
      <c r="KG9" s="75"/>
      <c r="KH9" s="75"/>
      <c r="KI9" s="75"/>
      <c r="KJ9" s="75"/>
      <c r="KK9" s="75"/>
      <c r="KL9" s="75"/>
      <c r="KM9" s="75"/>
      <c r="KN9" s="75"/>
      <c r="KO9" s="75"/>
    </row>
    <row r="10" spans="1:321" s="25" customFormat="1" x14ac:dyDescent="0.25">
      <c r="A10" s="19" t="s">
        <v>5</v>
      </c>
      <c r="B10" s="102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61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61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  <c r="FU10" s="76"/>
      <c r="FV10" s="76"/>
      <c r="FW10" s="76"/>
      <c r="FX10" s="76"/>
      <c r="FY10" s="76"/>
      <c r="FZ10" s="61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76"/>
      <c r="HE10" s="76"/>
      <c r="HF10" s="76"/>
      <c r="HG10" s="76"/>
      <c r="HH10" s="76"/>
      <c r="HI10" s="76"/>
      <c r="HJ10" s="76"/>
      <c r="HK10" s="76"/>
      <c r="HL10" s="76"/>
      <c r="HM10" s="76"/>
      <c r="HN10" s="76"/>
      <c r="HO10" s="76"/>
      <c r="HP10" s="76"/>
      <c r="HQ10" s="76"/>
      <c r="HR10" s="76"/>
      <c r="HS10" s="76"/>
      <c r="HT10" s="76"/>
      <c r="HU10" s="76"/>
      <c r="HV10" s="76"/>
      <c r="HW10" s="76"/>
      <c r="HX10" s="76"/>
      <c r="HY10" s="76"/>
      <c r="HZ10" s="76"/>
      <c r="IA10" s="76"/>
      <c r="IB10" s="76"/>
      <c r="IC10" s="76"/>
      <c r="ID10" s="76"/>
      <c r="IE10" s="76"/>
      <c r="IF10" s="76"/>
      <c r="IG10" s="76"/>
      <c r="IH10" s="61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76"/>
      <c r="JM10" s="76"/>
      <c r="JN10" s="76"/>
      <c r="JO10" s="76"/>
      <c r="JP10" s="76"/>
      <c r="JQ10" s="76"/>
      <c r="JR10" s="76"/>
      <c r="JS10" s="76"/>
      <c r="JT10" s="76"/>
      <c r="JU10" s="76"/>
      <c r="JV10" s="76"/>
      <c r="JW10" s="76"/>
      <c r="JX10" s="76"/>
      <c r="JY10" s="76"/>
      <c r="JZ10" s="76"/>
      <c r="KA10" s="76"/>
      <c r="KB10" s="76"/>
      <c r="KC10" s="76"/>
      <c r="KD10" s="76"/>
      <c r="KE10" s="76"/>
      <c r="KF10" s="76"/>
      <c r="KG10" s="76"/>
      <c r="KH10" s="76"/>
      <c r="KI10" s="76"/>
      <c r="KJ10" s="76"/>
      <c r="KK10" s="76"/>
      <c r="KL10" s="76"/>
      <c r="KM10" s="76"/>
      <c r="KN10" s="76"/>
      <c r="KO10" s="76"/>
    </row>
    <row r="11" spans="1:321" s="25" customFormat="1" x14ac:dyDescent="0.25">
      <c r="A11" s="21" t="s">
        <v>6</v>
      </c>
      <c r="B11" s="103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62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74"/>
      <c r="DS11" s="74"/>
      <c r="DT11" s="74"/>
      <c r="DU11" s="74"/>
      <c r="DV11" s="74"/>
      <c r="DW11" s="74"/>
      <c r="DX11" s="74"/>
      <c r="DY11" s="74"/>
      <c r="DZ11" s="74"/>
      <c r="EA11" s="74"/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4"/>
      <c r="EM11" s="74"/>
      <c r="EN11" s="74"/>
      <c r="EO11" s="74"/>
      <c r="EP11" s="74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62"/>
      <c r="FG11" s="51"/>
      <c r="FH11" s="51"/>
      <c r="FI11" s="51"/>
      <c r="FJ11" s="51"/>
      <c r="FK11" s="51"/>
      <c r="FL11" s="51"/>
      <c r="FM11" s="51"/>
      <c r="FN11" s="51"/>
      <c r="FO11" s="51"/>
      <c r="FP11" s="51"/>
      <c r="FQ11" s="51"/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62"/>
      <c r="II11" s="51"/>
      <c r="IJ11" s="51"/>
      <c r="IK11" s="51"/>
      <c r="IL11" s="51"/>
      <c r="IM11" s="51"/>
      <c r="IN11" s="51"/>
      <c r="IO11" s="51"/>
      <c r="IP11" s="51"/>
      <c r="IQ11" s="51"/>
      <c r="IR11" s="51"/>
      <c r="IS11" s="51"/>
      <c r="IT11" s="51"/>
      <c r="IU11" s="51"/>
      <c r="IV11" s="51"/>
      <c r="IW11" s="51"/>
      <c r="IX11" s="51"/>
      <c r="IY11" s="51"/>
      <c r="IZ11" s="51"/>
      <c r="JA11" s="51"/>
      <c r="JB11" s="51"/>
      <c r="JC11" s="51"/>
      <c r="JD11" s="51"/>
      <c r="JE11" s="51"/>
      <c r="JF11" s="51"/>
      <c r="JG11" s="51"/>
      <c r="JH11" s="51"/>
      <c r="JI11" s="51"/>
      <c r="JJ11" s="51"/>
      <c r="JK11" s="51"/>
      <c r="JL11" s="51"/>
      <c r="JM11" s="51"/>
      <c r="JN11" s="51"/>
      <c r="JO11" s="51"/>
      <c r="JP11" s="51"/>
      <c r="JQ11" s="51"/>
      <c r="JR11" s="51"/>
      <c r="JS11" s="51"/>
      <c r="JT11" s="51"/>
      <c r="JU11" s="51"/>
      <c r="JV11" s="74"/>
      <c r="JW11" s="74"/>
      <c r="JX11" s="74"/>
      <c r="JY11" s="74"/>
      <c r="JZ11" s="74"/>
      <c r="KA11" s="74"/>
      <c r="KB11" s="74"/>
      <c r="KC11" s="74"/>
      <c r="KD11" s="74"/>
      <c r="KE11" s="74"/>
      <c r="KF11" s="74"/>
      <c r="KG11" s="74"/>
      <c r="KH11" s="74"/>
      <c r="KI11" s="74"/>
      <c r="KJ11" s="74"/>
      <c r="KK11" s="74"/>
      <c r="KL11" s="74"/>
      <c r="KM11" s="74"/>
      <c r="KN11" s="74"/>
      <c r="KO11" s="74"/>
      <c r="KP11" s="74"/>
      <c r="KQ11" s="74"/>
      <c r="KR11" s="74"/>
      <c r="KS11" s="74"/>
      <c r="KT11" s="74"/>
      <c r="KU11" s="74"/>
      <c r="KV11" s="74"/>
      <c r="KW11" s="74"/>
      <c r="KX11" s="74"/>
      <c r="KY11" s="74"/>
      <c r="KZ11" s="74"/>
      <c r="LA11" s="74"/>
      <c r="LB11" s="74"/>
      <c r="LC11" s="74"/>
      <c r="LD11" s="74"/>
      <c r="LE11" s="74"/>
      <c r="LF11" s="74"/>
      <c r="LG11" s="74"/>
      <c r="LH11" s="74"/>
      <c r="LI11" s="74"/>
    </row>
    <row r="12" spans="1:321" s="25" customFormat="1" x14ac:dyDescent="0.25">
      <c r="A12" s="15" t="s">
        <v>7</v>
      </c>
      <c r="B12" s="104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86"/>
      <c r="CN12" s="86"/>
      <c r="CO12" s="86"/>
      <c r="CP12" s="86"/>
      <c r="CQ12" s="86"/>
      <c r="CR12" s="86"/>
      <c r="CS12" s="86"/>
      <c r="CT12" s="86"/>
      <c r="CU12" s="86"/>
      <c r="CV12" s="86"/>
      <c r="CW12" s="86"/>
      <c r="CX12" s="63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  <c r="FJ12" s="86"/>
      <c r="FK12" s="86"/>
      <c r="FL12" s="86"/>
      <c r="FM12" s="86"/>
      <c r="FN12" s="86"/>
      <c r="FO12" s="86"/>
      <c r="FP12" s="86"/>
      <c r="FQ12" s="86"/>
      <c r="FR12" s="86"/>
      <c r="FS12" s="86"/>
      <c r="FT12" s="86"/>
      <c r="FU12" s="86"/>
      <c r="FV12" s="86"/>
      <c r="FW12" s="86"/>
      <c r="FX12" s="86"/>
      <c r="FY12" s="86"/>
      <c r="FZ12" s="86"/>
      <c r="GA12" s="86"/>
      <c r="GB12" s="86"/>
      <c r="GC12" s="86"/>
      <c r="GD12" s="86"/>
      <c r="GE12" s="86"/>
      <c r="GF12" s="86"/>
      <c r="GG12" s="86"/>
      <c r="GH12" s="86"/>
      <c r="GI12" s="86"/>
      <c r="GJ12" s="86"/>
      <c r="GK12" s="86"/>
      <c r="GL12" s="86"/>
      <c r="GM12" s="86"/>
      <c r="GN12" s="86"/>
      <c r="GO12" s="86"/>
      <c r="GP12" s="86"/>
      <c r="GQ12" s="86"/>
      <c r="GR12" s="86"/>
      <c r="GS12" s="86"/>
      <c r="GT12" s="63"/>
      <c r="GU12" s="52"/>
      <c r="GV12" s="52"/>
      <c r="GW12" s="52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2"/>
      <c r="II12" s="52"/>
      <c r="IJ12" s="52"/>
      <c r="IK12" s="52"/>
      <c r="IL12" s="52"/>
      <c r="IM12" s="52"/>
      <c r="IN12" s="52"/>
      <c r="IO12" s="52"/>
      <c r="IP12" s="52"/>
      <c r="IQ12" s="105"/>
      <c r="IR12" s="86"/>
      <c r="IS12" s="86"/>
      <c r="IT12" s="86"/>
      <c r="IU12" s="86"/>
      <c r="IV12" s="86"/>
      <c r="IW12" s="86"/>
      <c r="IX12" s="86"/>
      <c r="IY12" s="86"/>
      <c r="IZ12" s="86"/>
      <c r="JA12" s="86"/>
      <c r="JB12" s="86"/>
      <c r="JC12" s="86"/>
      <c r="JD12" s="86"/>
      <c r="JE12" s="86"/>
      <c r="JF12" s="86"/>
      <c r="JG12" s="86"/>
      <c r="JH12" s="86"/>
      <c r="JI12" s="86"/>
      <c r="JJ12" s="86"/>
      <c r="JK12" s="86"/>
      <c r="JL12" s="86"/>
      <c r="JM12" s="86"/>
      <c r="JN12" s="86"/>
      <c r="JO12" s="86"/>
      <c r="JP12" s="86"/>
      <c r="JQ12" s="86"/>
      <c r="JR12" s="86"/>
      <c r="JS12" s="86"/>
      <c r="JT12" s="86"/>
      <c r="JU12" s="86"/>
      <c r="JV12" s="86"/>
      <c r="JW12" s="86"/>
      <c r="JX12" s="86"/>
      <c r="JY12" s="86"/>
      <c r="JZ12" s="86"/>
      <c r="KA12" s="86"/>
      <c r="KB12" s="86"/>
      <c r="KC12" s="86"/>
      <c r="KD12" s="86"/>
      <c r="KE12" s="86"/>
      <c r="KF12" s="86"/>
      <c r="KG12" s="86"/>
      <c r="KH12" s="86"/>
      <c r="KI12" s="86"/>
      <c r="KJ12" s="86"/>
      <c r="KK12" s="86"/>
      <c r="KL12" s="86"/>
      <c r="KM12" s="86"/>
      <c r="KN12" s="86"/>
      <c r="KO12" s="86"/>
    </row>
    <row r="13" spans="1:321" s="24" customFormat="1" ht="20" thickBot="1" x14ac:dyDescent="0.3">
      <c r="A13" s="41" t="s">
        <v>8</v>
      </c>
      <c r="B13" s="106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64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87"/>
      <c r="EW13" s="87"/>
      <c r="EX13" s="87"/>
      <c r="EY13" s="87"/>
      <c r="EZ13" s="87"/>
      <c r="FA13" s="87"/>
      <c r="FB13" s="87"/>
      <c r="FC13" s="87"/>
      <c r="FD13" s="87"/>
      <c r="FE13" s="87"/>
      <c r="FF13" s="87"/>
      <c r="FG13" s="87"/>
      <c r="FH13" s="87"/>
      <c r="FI13" s="87"/>
      <c r="FJ13" s="87"/>
      <c r="FK13" s="87"/>
      <c r="FL13" s="87"/>
      <c r="FM13" s="87"/>
      <c r="FN13" s="87"/>
      <c r="FO13" s="87"/>
      <c r="FP13" s="87"/>
      <c r="FQ13" s="87"/>
      <c r="FR13" s="87"/>
      <c r="FS13" s="87"/>
      <c r="FT13" s="87"/>
      <c r="FU13" s="87"/>
      <c r="FV13" s="87"/>
      <c r="FW13" s="87"/>
      <c r="FX13" s="87"/>
      <c r="FY13" s="87"/>
      <c r="FZ13" s="87"/>
      <c r="GA13" s="87"/>
      <c r="GB13" s="87"/>
      <c r="GC13" s="87"/>
      <c r="GD13" s="87"/>
      <c r="GE13" s="87"/>
      <c r="GF13" s="87"/>
      <c r="GG13" s="87"/>
      <c r="GH13" s="87"/>
      <c r="GI13" s="87"/>
      <c r="GJ13" s="87"/>
      <c r="GK13" s="87"/>
      <c r="GL13" s="87"/>
      <c r="GM13" s="87"/>
      <c r="GN13" s="87"/>
      <c r="GO13" s="87"/>
      <c r="GP13" s="87"/>
      <c r="GQ13" s="87"/>
      <c r="GR13" s="87"/>
      <c r="GS13" s="87"/>
      <c r="GT13" s="64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107"/>
      <c r="IR13" s="87"/>
      <c r="IS13" s="87"/>
      <c r="IT13" s="87"/>
      <c r="IU13" s="87"/>
      <c r="IV13" s="87"/>
      <c r="IW13" s="87"/>
      <c r="IX13" s="87"/>
      <c r="IY13" s="87"/>
      <c r="IZ13" s="87"/>
      <c r="JA13" s="87"/>
      <c r="JB13" s="87"/>
      <c r="JC13" s="87"/>
      <c r="JD13" s="87"/>
      <c r="JE13" s="87"/>
      <c r="JF13" s="87"/>
      <c r="JG13" s="87"/>
      <c r="JH13" s="87"/>
      <c r="JI13" s="87"/>
      <c r="JJ13" s="87"/>
      <c r="JK13" s="87"/>
      <c r="JL13" s="87"/>
      <c r="JM13" s="87"/>
      <c r="JN13" s="87"/>
      <c r="JO13" s="87"/>
      <c r="JP13" s="87"/>
      <c r="JQ13" s="87"/>
      <c r="JR13" s="87"/>
      <c r="JS13" s="87"/>
      <c r="JT13" s="87"/>
      <c r="JU13" s="87"/>
      <c r="JV13" s="87"/>
      <c r="JW13" s="87"/>
      <c r="JX13" s="87"/>
      <c r="JY13" s="87"/>
      <c r="JZ13" s="87"/>
      <c r="KA13" s="87"/>
      <c r="KB13" s="87"/>
      <c r="KC13" s="87"/>
      <c r="KD13" s="87"/>
      <c r="KE13" s="87"/>
      <c r="KF13" s="87"/>
      <c r="KG13" s="87"/>
      <c r="KH13" s="87"/>
      <c r="KI13" s="87"/>
      <c r="KJ13" s="87"/>
      <c r="KK13" s="87"/>
      <c r="KL13" s="87"/>
      <c r="KM13" s="87"/>
      <c r="KN13" s="87"/>
      <c r="KO13" s="87"/>
    </row>
    <row r="14" spans="1:321" s="43" customFormat="1" ht="20" thickBot="1" x14ac:dyDescent="0.3">
      <c r="A14" s="12" t="s">
        <v>262</v>
      </c>
      <c r="B14" s="108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IQ14" s="44"/>
    </row>
    <row r="15" spans="1:321" s="42" customFormat="1" x14ac:dyDescent="0.25">
      <c r="A15" s="20" t="s">
        <v>4</v>
      </c>
      <c r="B15" s="109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7"/>
      <c r="AF15" s="80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2"/>
      <c r="BJ15" s="65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7"/>
      <c r="CN15" s="80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2"/>
      <c r="DR15" s="65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7"/>
      <c r="EV15" s="80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2"/>
      <c r="FZ15" s="65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7"/>
      <c r="HD15" s="80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2"/>
      <c r="IH15" s="65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7"/>
      <c r="JL15" s="80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2"/>
    </row>
    <row r="16" spans="1:321" s="42" customFormat="1" x14ac:dyDescent="0.25">
      <c r="A16" s="19" t="s">
        <v>5</v>
      </c>
      <c r="B16" s="110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6"/>
      <c r="AF16" s="77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9"/>
      <c r="BJ16" s="54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6"/>
      <c r="CN16" s="77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9"/>
      <c r="DR16" s="54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6"/>
      <c r="EV16" s="77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9"/>
      <c r="FZ16" s="54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6"/>
      <c r="HD16" s="77"/>
      <c r="HE16" s="78"/>
      <c r="HF16" s="78"/>
      <c r="HG16" s="78"/>
      <c r="HH16" s="78"/>
      <c r="HI16" s="78"/>
      <c r="HJ16" s="78"/>
      <c r="HK16" s="78"/>
      <c r="HL16" s="78"/>
      <c r="HM16" s="78"/>
      <c r="HN16" s="78"/>
      <c r="HO16" s="78"/>
      <c r="HP16" s="78"/>
      <c r="HQ16" s="78"/>
      <c r="HR16" s="78"/>
      <c r="HS16" s="78"/>
      <c r="HT16" s="78"/>
      <c r="HU16" s="78"/>
      <c r="HV16" s="78"/>
      <c r="HW16" s="79"/>
      <c r="IH16" s="54"/>
      <c r="II16" s="55"/>
      <c r="IJ16" s="55"/>
      <c r="IK16" s="55"/>
      <c r="IL16" s="55"/>
      <c r="IM16" s="55"/>
      <c r="IN16" s="55"/>
      <c r="IO16" s="55"/>
      <c r="IP16" s="55"/>
      <c r="IQ16" s="55"/>
      <c r="IR16" s="55"/>
      <c r="IS16" s="55"/>
      <c r="IT16" s="55"/>
      <c r="IU16" s="55"/>
      <c r="IV16" s="55"/>
      <c r="IW16" s="55"/>
      <c r="IX16" s="55"/>
      <c r="IY16" s="55"/>
      <c r="IZ16" s="55"/>
      <c r="JA16" s="56"/>
      <c r="JL16" s="77"/>
      <c r="JM16" s="78"/>
      <c r="JN16" s="78"/>
      <c r="JO16" s="78"/>
      <c r="JP16" s="78"/>
      <c r="JQ16" s="78"/>
      <c r="JR16" s="78"/>
      <c r="JS16" s="78"/>
      <c r="JT16" s="78"/>
      <c r="JU16" s="78"/>
      <c r="JV16" s="78"/>
      <c r="JW16" s="78"/>
      <c r="JX16" s="78"/>
      <c r="JY16" s="78"/>
      <c r="JZ16" s="78"/>
      <c r="KA16" s="78"/>
      <c r="KB16" s="78"/>
      <c r="KC16" s="78"/>
      <c r="KD16" s="78"/>
      <c r="KE16" s="79"/>
    </row>
    <row r="17" spans="1:301" s="42" customFormat="1" x14ac:dyDescent="0.25">
      <c r="A17" s="21" t="s">
        <v>6</v>
      </c>
      <c r="B17" s="111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9"/>
      <c r="AP17" s="83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5"/>
      <c r="CD17" s="57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9"/>
      <c r="DR17" s="83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5"/>
      <c r="FF17" s="57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9"/>
      <c r="GT17" s="83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5"/>
      <c r="IH17" s="57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  <c r="IV17" s="58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9"/>
    </row>
    <row r="18" spans="1:301" s="42" customFormat="1" x14ac:dyDescent="0.25">
      <c r="A18" s="15" t="s">
        <v>7</v>
      </c>
      <c r="B18" s="112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70"/>
      <c r="AZ18" s="88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90"/>
      <c r="CX18" s="68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69"/>
      <c r="DT18" s="69"/>
      <c r="DU18" s="69"/>
      <c r="DV18" s="69"/>
      <c r="DW18" s="69"/>
      <c r="DX18" s="69"/>
      <c r="DY18" s="69"/>
      <c r="DZ18" s="69"/>
      <c r="EA18" s="69"/>
      <c r="EB18" s="69"/>
      <c r="EC18" s="69"/>
      <c r="ED18" s="69"/>
      <c r="EE18" s="69"/>
      <c r="EF18" s="69"/>
      <c r="EG18" s="69"/>
      <c r="EH18" s="69"/>
      <c r="EI18" s="69"/>
      <c r="EJ18" s="69"/>
      <c r="EK18" s="70"/>
      <c r="EV18" s="88"/>
      <c r="EW18" s="89"/>
      <c r="EX18" s="89"/>
      <c r="EY18" s="89"/>
      <c r="EZ18" s="89"/>
      <c r="FA18" s="89"/>
      <c r="FB18" s="89"/>
      <c r="FC18" s="89"/>
      <c r="FD18" s="89"/>
      <c r="FE18" s="89"/>
      <c r="FF18" s="89"/>
      <c r="FG18" s="89"/>
      <c r="FH18" s="89"/>
      <c r="FI18" s="89"/>
      <c r="FJ18" s="89"/>
      <c r="FK18" s="89"/>
      <c r="FL18" s="89"/>
      <c r="FM18" s="89"/>
      <c r="FN18" s="89"/>
      <c r="FO18" s="89"/>
      <c r="FP18" s="89"/>
      <c r="FQ18" s="89"/>
      <c r="FR18" s="89"/>
      <c r="FS18" s="89"/>
      <c r="FT18" s="89"/>
      <c r="FU18" s="89"/>
      <c r="FV18" s="89"/>
      <c r="FW18" s="89"/>
      <c r="FX18" s="89"/>
      <c r="FY18" s="89"/>
      <c r="FZ18" s="89"/>
      <c r="GA18" s="89"/>
      <c r="GB18" s="89"/>
      <c r="GC18" s="89"/>
      <c r="GD18" s="89"/>
      <c r="GE18" s="89"/>
      <c r="GF18" s="89"/>
      <c r="GG18" s="89"/>
      <c r="GH18" s="89"/>
      <c r="GI18" s="90"/>
      <c r="GT18" s="68"/>
      <c r="GU18" s="69"/>
      <c r="GV18" s="69"/>
      <c r="GW18" s="69"/>
      <c r="GX18" s="69"/>
      <c r="GY18" s="69"/>
      <c r="GZ18" s="69"/>
      <c r="HA18" s="69"/>
      <c r="HB18" s="69"/>
      <c r="HC18" s="69"/>
      <c r="HD18" s="69"/>
      <c r="HE18" s="69"/>
      <c r="HF18" s="69"/>
      <c r="HG18" s="69"/>
      <c r="HH18" s="69"/>
      <c r="HI18" s="69"/>
      <c r="HJ18" s="69"/>
      <c r="HK18" s="69"/>
      <c r="HL18" s="69"/>
      <c r="HM18" s="69"/>
      <c r="HN18" s="69"/>
      <c r="HO18" s="69"/>
      <c r="HP18" s="69"/>
      <c r="HQ18" s="69"/>
      <c r="HR18" s="69"/>
      <c r="HS18" s="69"/>
      <c r="HT18" s="69"/>
      <c r="HU18" s="69"/>
      <c r="HV18" s="69"/>
      <c r="HW18" s="69"/>
      <c r="HX18" s="69"/>
      <c r="HY18" s="69"/>
      <c r="HZ18" s="69"/>
      <c r="IA18" s="69"/>
      <c r="IB18" s="69"/>
      <c r="IC18" s="69"/>
      <c r="ID18" s="69"/>
      <c r="IE18" s="69"/>
      <c r="IF18" s="69"/>
      <c r="IG18" s="70"/>
      <c r="IQ18" s="16"/>
      <c r="IR18" s="88"/>
      <c r="IS18" s="89"/>
      <c r="IT18" s="89"/>
      <c r="IU18" s="89"/>
      <c r="IV18" s="89"/>
      <c r="IW18" s="89"/>
      <c r="IX18" s="89"/>
      <c r="IY18" s="89"/>
      <c r="IZ18" s="89"/>
      <c r="JA18" s="89"/>
      <c r="JB18" s="89"/>
      <c r="JC18" s="89"/>
      <c r="JD18" s="89"/>
      <c r="JE18" s="89"/>
      <c r="JF18" s="89"/>
      <c r="JG18" s="89"/>
      <c r="JH18" s="89"/>
      <c r="JI18" s="89"/>
      <c r="JJ18" s="89"/>
      <c r="JK18" s="89"/>
      <c r="JL18" s="89"/>
      <c r="JM18" s="89"/>
      <c r="JN18" s="89"/>
      <c r="JO18" s="89"/>
      <c r="JP18" s="89"/>
      <c r="JQ18" s="89"/>
      <c r="JR18" s="89"/>
      <c r="JS18" s="89"/>
      <c r="JT18" s="89"/>
      <c r="JU18" s="89"/>
      <c r="JV18" s="89"/>
      <c r="JW18" s="89"/>
      <c r="JX18" s="89"/>
      <c r="JY18" s="89"/>
      <c r="JZ18" s="89"/>
      <c r="KA18" s="89"/>
      <c r="KB18" s="89"/>
      <c r="KC18" s="89"/>
      <c r="KD18" s="89"/>
      <c r="KE18" s="90"/>
    </row>
    <row r="19" spans="1:301" s="14" customFormat="1" ht="20" thickBot="1" x14ac:dyDescent="0.3">
      <c r="A19" s="22" t="s">
        <v>8</v>
      </c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91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2"/>
      <c r="BO19" s="92"/>
      <c r="BP19" s="92"/>
      <c r="BQ19" s="92"/>
      <c r="BR19" s="92"/>
      <c r="BS19" s="92"/>
      <c r="BT19" s="92"/>
      <c r="BU19" s="92"/>
      <c r="BV19" s="92"/>
      <c r="BW19" s="92"/>
      <c r="BX19" s="92"/>
      <c r="BY19" s="92"/>
      <c r="BZ19" s="92"/>
      <c r="CA19" s="92"/>
      <c r="CB19" s="92"/>
      <c r="CC19" s="92"/>
      <c r="CD19" s="92"/>
      <c r="CE19" s="92"/>
      <c r="CF19" s="92"/>
      <c r="CG19" s="92"/>
      <c r="CH19" s="92"/>
      <c r="CI19" s="92"/>
      <c r="CJ19" s="92"/>
      <c r="CK19" s="92"/>
      <c r="CL19" s="92"/>
      <c r="CM19" s="92"/>
      <c r="CN19" s="92"/>
      <c r="CO19" s="92"/>
      <c r="CP19" s="92"/>
      <c r="CQ19" s="92"/>
      <c r="CR19" s="92"/>
      <c r="CS19" s="92"/>
      <c r="CT19" s="92"/>
      <c r="CU19" s="92"/>
      <c r="CV19" s="92"/>
      <c r="CW19" s="92"/>
      <c r="CX19" s="71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72"/>
      <c r="ER19" s="72"/>
      <c r="ES19" s="72"/>
      <c r="ET19" s="72"/>
      <c r="EU19" s="72"/>
      <c r="EV19" s="91"/>
      <c r="EW19" s="92"/>
      <c r="EX19" s="92"/>
      <c r="EY19" s="92"/>
      <c r="EZ19" s="92"/>
      <c r="FA19" s="92"/>
      <c r="FB19" s="92"/>
      <c r="FC19" s="92"/>
      <c r="FD19" s="92"/>
      <c r="FE19" s="92"/>
      <c r="FF19" s="92"/>
      <c r="FG19" s="92"/>
      <c r="FH19" s="92"/>
      <c r="FI19" s="92"/>
      <c r="FJ19" s="92"/>
      <c r="FK19" s="92"/>
      <c r="FL19" s="92"/>
      <c r="FM19" s="92"/>
      <c r="FN19" s="92"/>
      <c r="FO19" s="92"/>
      <c r="FP19" s="92"/>
      <c r="FQ19" s="92"/>
      <c r="FR19" s="92"/>
      <c r="FS19" s="92"/>
      <c r="FT19" s="92"/>
      <c r="FU19" s="92"/>
      <c r="FV19" s="92"/>
      <c r="FW19" s="92"/>
      <c r="FX19" s="92"/>
      <c r="FY19" s="92"/>
      <c r="FZ19" s="92"/>
      <c r="GA19" s="92"/>
      <c r="GB19" s="92"/>
      <c r="GC19" s="92"/>
      <c r="GD19" s="92"/>
      <c r="GE19" s="92"/>
      <c r="GF19" s="92"/>
      <c r="GG19" s="92"/>
      <c r="GH19" s="92"/>
      <c r="GI19" s="92"/>
      <c r="GJ19" s="92"/>
      <c r="GK19" s="92"/>
      <c r="GL19" s="92"/>
      <c r="GM19" s="92"/>
      <c r="GN19" s="92"/>
      <c r="GO19" s="92"/>
      <c r="GP19" s="92"/>
      <c r="GQ19" s="92"/>
      <c r="GR19" s="92"/>
      <c r="GS19" s="92"/>
      <c r="GT19" s="71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113"/>
      <c r="IR19" s="91"/>
      <c r="IS19" s="92"/>
      <c r="IT19" s="92"/>
      <c r="IU19" s="92"/>
      <c r="IV19" s="92"/>
      <c r="IW19" s="92"/>
      <c r="IX19" s="92"/>
      <c r="IY19" s="92"/>
      <c r="IZ19" s="92"/>
      <c r="JA19" s="92"/>
      <c r="JB19" s="92"/>
      <c r="JC19" s="92"/>
      <c r="JD19" s="92"/>
      <c r="JE19" s="92"/>
      <c r="JF19" s="92"/>
      <c r="JG19" s="92"/>
      <c r="JH19" s="92"/>
      <c r="JI19" s="92"/>
      <c r="JJ19" s="92"/>
      <c r="JK19" s="92"/>
      <c r="JL19" s="92"/>
      <c r="JM19" s="92"/>
      <c r="JN19" s="92"/>
      <c r="JO19" s="92"/>
      <c r="JP19" s="92"/>
      <c r="JQ19" s="92"/>
      <c r="JR19" s="92"/>
      <c r="JS19" s="92"/>
      <c r="JT19" s="92"/>
      <c r="JU19" s="92"/>
      <c r="JV19" s="92"/>
      <c r="JW19" s="92"/>
      <c r="JX19" s="92"/>
      <c r="JY19" s="92"/>
      <c r="JZ19" s="92"/>
      <c r="KA19" s="92"/>
      <c r="KB19" s="92"/>
      <c r="KC19" s="92"/>
      <c r="KD19" s="92"/>
      <c r="KE19" s="92"/>
      <c r="KF19" s="92"/>
      <c r="KG19" s="92"/>
      <c r="KH19" s="92"/>
      <c r="KI19" s="92"/>
      <c r="KJ19" s="92"/>
      <c r="KK19" s="92"/>
      <c r="KL19" s="92"/>
      <c r="KM19" s="92"/>
      <c r="KN19" s="92"/>
      <c r="KO19" s="92"/>
    </row>
    <row r="20" spans="1:301" ht="20" thickBot="1" x14ac:dyDescent="0.3"/>
    <row r="21" spans="1:301" x14ac:dyDescent="0.25">
      <c r="A21" s="13" t="s">
        <v>4</v>
      </c>
    </row>
    <row r="22" spans="1:301" ht="20" thickBot="1" x14ac:dyDescent="0.3">
      <c r="A22" s="46">
        <v>2</v>
      </c>
    </row>
    <row r="23" spans="1:301" ht="20" thickBot="1" x14ac:dyDescent="0.3"/>
    <row r="24" spans="1:301" x14ac:dyDescent="0.25">
      <c r="A24" s="47" t="s">
        <v>5</v>
      </c>
    </row>
    <row r="25" spans="1:301" ht="20" thickBot="1" x14ac:dyDescent="0.3">
      <c r="A25" s="46">
        <v>4</v>
      </c>
    </row>
    <row r="26" spans="1:301" ht="20" thickBot="1" x14ac:dyDescent="0.3"/>
    <row r="27" spans="1:301" x14ac:dyDescent="0.25">
      <c r="A27" s="47" t="s">
        <v>6</v>
      </c>
    </row>
    <row r="28" spans="1:301" ht="20" thickBot="1" x14ac:dyDescent="0.3">
      <c r="A28" s="46">
        <v>10</v>
      </c>
    </row>
    <row r="29" spans="1:301" ht="20" thickBot="1" x14ac:dyDescent="0.3"/>
    <row r="30" spans="1:301" x14ac:dyDescent="0.25">
      <c r="A30" s="47" t="s">
        <v>7</v>
      </c>
    </row>
    <row r="31" spans="1:301" ht="20" thickBot="1" x14ac:dyDescent="0.3">
      <c r="A31" s="48">
        <v>21</v>
      </c>
    </row>
    <row r="32" spans="1:301" ht="20" thickBot="1" x14ac:dyDescent="0.3"/>
    <row r="33" spans="1:1" x14ac:dyDescent="0.25">
      <c r="A33" s="47" t="s">
        <v>8</v>
      </c>
    </row>
    <row r="34" spans="1:1" ht="20" thickBot="1" x14ac:dyDescent="0.3">
      <c r="A34" s="46">
        <v>5</v>
      </c>
    </row>
  </sheetData>
  <mergeCells count="79">
    <mergeCell ref="IR19:KO19"/>
    <mergeCell ref="JL9:KO9"/>
    <mergeCell ref="JL10:KO10"/>
    <mergeCell ref="IR12:KO12"/>
    <mergeCell ref="IR13:KO13"/>
    <mergeCell ref="JL15:JZ15"/>
    <mergeCell ref="JL16:KE16"/>
    <mergeCell ref="IR18:KE18"/>
    <mergeCell ref="B18:AO18"/>
    <mergeCell ref="AZ18:CM18"/>
    <mergeCell ref="CX18:EK18"/>
    <mergeCell ref="EV18:GI18"/>
    <mergeCell ref="GT18:IG18"/>
    <mergeCell ref="B19:AY19"/>
    <mergeCell ref="AZ19:CW19"/>
    <mergeCell ref="CX19:EU19"/>
    <mergeCell ref="EV19:GS19"/>
    <mergeCell ref="GT19:IQ19"/>
    <mergeCell ref="HD16:HW16"/>
    <mergeCell ref="IH16:JA16"/>
    <mergeCell ref="B17:AJ17"/>
    <mergeCell ref="AP17:BX17"/>
    <mergeCell ref="CD17:DL17"/>
    <mergeCell ref="DR17:EZ17"/>
    <mergeCell ref="FF17:GN17"/>
    <mergeCell ref="GT17:IB17"/>
    <mergeCell ref="IH17:JP17"/>
    <mergeCell ref="EV15:FJ15"/>
    <mergeCell ref="FZ15:GN15"/>
    <mergeCell ref="HD15:HR15"/>
    <mergeCell ref="IH15:IV15"/>
    <mergeCell ref="AF16:AY16"/>
    <mergeCell ref="BJ16:CC16"/>
    <mergeCell ref="CN16:DG16"/>
    <mergeCell ref="DR16:EK16"/>
    <mergeCell ref="EV16:FO16"/>
    <mergeCell ref="FZ16:GS16"/>
    <mergeCell ref="B15:P15"/>
    <mergeCell ref="AF15:AT15"/>
    <mergeCell ref="B16:U16"/>
    <mergeCell ref="BJ15:BX15"/>
    <mergeCell ref="CN15:DB15"/>
    <mergeCell ref="DR15:EF15"/>
    <mergeCell ref="CX13:EU13"/>
    <mergeCell ref="EV13:GS13"/>
    <mergeCell ref="GT12:IQ12"/>
    <mergeCell ref="GT13:IQ13"/>
    <mergeCell ref="CD11:DQ11"/>
    <mergeCell ref="DR11:FE11"/>
    <mergeCell ref="FF11:GS11"/>
    <mergeCell ref="GT11:IG11"/>
    <mergeCell ref="IH11:JU11"/>
    <mergeCell ref="JV11:LI11"/>
    <mergeCell ref="FZ9:HC9"/>
    <mergeCell ref="HD9:IG9"/>
    <mergeCell ref="FZ10:HC10"/>
    <mergeCell ref="HD10:IG10"/>
    <mergeCell ref="IH9:JK9"/>
    <mergeCell ref="IH10:JK10"/>
    <mergeCell ref="AZ12:CW12"/>
    <mergeCell ref="AZ13:CW13"/>
    <mergeCell ref="CN9:DQ9"/>
    <mergeCell ref="CN10:DQ10"/>
    <mergeCell ref="DR9:EU9"/>
    <mergeCell ref="EV9:FY9"/>
    <mergeCell ref="DR10:EU10"/>
    <mergeCell ref="EV10:FY10"/>
    <mergeCell ref="CX12:EU12"/>
    <mergeCell ref="EV12:GS12"/>
    <mergeCell ref="B9:AE9"/>
    <mergeCell ref="B10:AE10"/>
    <mergeCell ref="B11:AO11"/>
    <mergeCell ref="B12:AY12"/>
    <mergeCell ref="B13:AY13"/>
    <mergeCell ref="AF9:BI9"/>
    <mergeCell ref="AF10:BI10"/>
    <mergeCell ref="AP11:CC11"/>
    <mergeCell ref="BJ9:CM9"/>
    <mergeCell ref="BJ10:CM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FA13-E951-7545-BE1A-9591E9051DA3}">
  <dimension ref="A1:LI34"/>
  <sheetViews>
    <sheetView tabSelected="1" workbookViewId="0">
      <pane xSplit="1" ySplit="1" topLeftCell="AH2" activePane="bottomRight" state="frozen"/>
      <selection pane="topRight" activeCell="B1" sqref="B1"/>
      <selection pane="bottomLeft" activeCell="A2" sqref="A2"/>
      <selection pane="bottomRight" activeCell="CF22" sqref="CF22"/>
    </sheetView>
  </sheetViews>
  <sheetFormatPr baseColWidth="10" defaultRowHeight="19" x14ac:dyDescent="0.25"/>
  <cols>
    <col min="1" max="1" width="11.33203125" style="11" bestFit="1" customWidth="1"/>
    <col min="2" max="2" width="5.1640625" style="31" bestFit="1" customWidth="1"/>
    <col min="3" max="10" width="5.1640625" style="42" bestFit="1" customWidth="1"/>
    <col min="11" max="100" width="6.33203125" style="42" bestFit="1" customWidth="1"/>
    <col min="101" max="250" width="7.5" style="42" bestFit="1" customWidth="1"/>
    <col min="251" max="251" width="7.5" style="16" bestFit="1" customWidth="1"/>
    <col min="252" max="16384" width="10.83203125" style="1"/>
  </cols>
  <sheetData>
    <row r="1" spans="1:321" s="10" customFormat="1" ht="20" thickBot="1" x14ac:dyDescent="0.3">
      <c r="A1" s="12" t="s">
        <v>261</v>
      </c>
      <c r="B1" s="98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10" t="s">
        <v>19</v>
      </c>
      <c r="M1" s="10" t="s">
        <v>20</v>
      </c>
      <c r="N1" s="10" t="s">
        <v>21</v>
      </c>
      <c r="O1" s="10" t="s">
        <v>22</v>
      </c>
      <c r="P1" s="10" t="s">
        <v>23</v>
      </c>
      <c r="Q1" s="10" t="s">
        <v>24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29</v>
      </c>
      <c r="W1" s="10" t="s">
        <v>30</v>
      </c>
      <c r="X1" s="10" t="s">
        <v>31</v>
      </c>
      <c r="Y1" s="10" t="s">
        <v>32</v>
      </c>
      <c r="Z1" s="10" t="s">
        <v>33</v>
      </c>
      <c r="AA1" s="10" t="s">
        <v>34</v>
      </c>
      <c r="AB1" s="10" t="s">
        <v>35</v>
      </c>
      <c r="AC1" s="10" t="s">
        <v>36</v>
      </c>
      <c r="AD1" s="10" t="s">
        <v>37</v>
      </c>
      <c r="AE1" s="10" t="s">
        <v>38</v>
      </c>
      <c r="AF1" s="10" t="s">
        <v>39</v>
      </c>
      <c r="AG1" s="10" t="s">
        <v>40</v>
      </c>
      <c r="AH1" s="10" t="s">
        <v>41</v>
      </c>
      <c r="AI1" s="10" t="s">
        <v>42</v>
      </c>
      <c r="AJ1" s="10" t="s">
        <v>43</v>
      </c>
      <c r="AK1" s="10" t="s">
        <v>44</v>
      </c>
      <c r="AL1" s="10" t="s">
        <v>45</v>
      </c>
      <c r="AM1" s="10" t="s">
        <v>46</v>
      </c>
      <c r="AN1" s="10" t="s">
        <v>47</v>
      </c>
      <c r="AO1" s="10" t="s">
        <v>48</v>
      </c>
      <c r="AP1" s="10" t="s">
        <v>49</v>
      </c>
      <c r="AQ1" s="10" t="s">
        <v>50</v>
      </c>
      <c r="AR1" s="10" t="s">
        <v>51</v>
      </c>
      <c r="AS1" s="10" t="s">
        <v>52</v>
      </c>
      <c r="AT1" s="10" t="s">
        <v>53</v>
      </c>
      <c r="AU1" s="10" t="s">
        <v>54</v>
      </c>
      <c r="AV1" s="10" t="s">
        <v>55</v>
      </c>
      <c r="AW1" s="10" t="s">
        <v>56</v>
      </c>
      <c r="AX1" s="10" t="s">
        <v>57</v>
      </c>
      <c r="AY1" s="10" t="s">
        <v>58</v>
      </c>
      <c r="AZ1" s="10" t="s">
        <v>61</v>
      </c>
      <c r="BA1" s="10" t="s">
        <v>62</v>
      </c>
      <c r="BB1" s="10" t="s">
        <v>63</v>
      </c>
      <c r="BC1" s="10" t="s">
        <v>64</v>
      </c>
      <c r="BD1" s="10" t="s">
        <v>65</v>
      </c>
      <c r="BE1" s="10" t="s">
        <v>66</v>
      </c>
      <c r="BF1" s="10" t="s">
        <v>67</v>
      </c>
      <c r="BG1" s="10" t="s">
        <v>68</v>
      </c>
      <c r="BH1" s="10" t="s">
        <v>69</v>
      </c>
      <c r="BI1" s="10" t="s">
        <v>70</v>
      </c>
      <c r="BJ1" s="10" t="s">
        <v>71</v>
      </c>
      <c r="BK1" s="10" t="s">
        <v>72</v>
      </c>
      <c r="BL1" s="10" t="s">
        <v>73</v>
      </c>
      <c r="BM1" s="10" t="s">
        <v>74</v>
      </c>
      <c r="BN1" s="10" t="s">
        <v>75</v>
      </c>
      <c r="BO1" s="10" t="s">
        <v>76</v>
      </c>
      <c r="BP1" s="10" t="s">
        <v>77</v>
      </c>
      <c r="BQ1" s="10" t="s">
        <v>78</v>
      </c>
      <c r="BR1" s="10" t="s">
        <v>79</v>
      </c>
      <c r="BS1" s="10" t="s">
        <v>80</v>
      </c>
      <c r="BT1" s="10" t="s">
        <v>81</v>
      </c>
      <c r="BU1" s="10" t="s">
        <v>82</v>
      </c>
      <c r="BV1" s="10" t="s">
        <v>83</v>
      </c>
      <c r="BW1" s="10" t="s">
        <v>84</v>
      </c>
      <c r="BX1" s="10" t="s">
        <v>85</v>
      </c>
      <c r="BY1" s="10" t="s">
        <v>86</v>
      </c>
      <c r="BZ1" s="10" t="s">
        <v>87</v>
      </c>
      <c r="CA1" s="10" t="s">
        <v>88</v>
      </c>
      <c r="CB1" s="10" t="s">
        <v>89</v>
      </c>
      <c r="CC1" s="10" t="s">
        <v>90</v>
      </c>
      <c r="CD1" s="10" t="s">
        <v>91</v>
      </c>
      <c r="CE1" s="10" t="s">
        <v>92</v>
      </c>
      <c r="CF1" s="10" t="s">
        <v>93</v>
      </c>
      <c r="CG1" s="10" t="s">
        <v>94</v>
      </c>
      <c r="CH1" s="10" t="s">
        <v>95</v>
      </c>
      <c r="CI1" s="10" t="s">
        <v>96</v>
      </c>
      <c r="CJ1" s="10" t="s">
        <v>97</v>
      </c>
      <c r="CK1" s="10" t="s">
        <v>98</v>
      </c>
      <c r="CL1" s="10" t="s">
        <v>99</v>
      </c>
      <c r="CM1" s="10" t="s">
        <v>100</v>
      </c>
      <c r="CN1" s="10" t="s">
        <v>101</v>
      </c>
      <c r="CO1" s="10" t="s">
        <v>102</v>
      </c>
      <c r="CP1" s="10" t="s">
        <v>103</v>
      </c>
      <c r="CQ1" s="10" t="s">
        <v>104</v>
      </c>
      <c r="CR1" s="10" t="s">
        <v>105</v>
      </c>
      <c r="CS1" s="10" t="s">
        <v>106</v>
      </c>
      <c r="CT1" s="10" t="s">
        <v>107</v>
      </c>
      <c r="CU1" s="10" t="s">
        <v>108</v>
      </c>
      <c r="CV1" s="10" t="s">
        <v>109</v>
      </c>
      <c r="CW1" s="10" t="s">
        <v>110</v>
      </c>
      <c r="CX1" s="10" t="s">
        <v>111</v>
      </c>
      <c r="CY1" s="10" t="s">
        <v>112</v>
      </c>
      <c r="CZ1" s="10" t="s">
        <v>113</v>
      </c>
      <c r="DA1" s="10" t="s">
        <v>114</v>
      </c>
      <c r="DB1" s="10" t="s">
        <v>115</v>
      </c>
      <c r="DC1" s="10" t="s">
        <v>116</v>
      </c>
      <c r="DD1" s="10" t="s">
        <v>117</v>
      </c>
      <c r="DE1" s="10" t="s">
        <v>118</v>
      </c>
      <c r="DF1" s="10" t="s">
        <v>119</v>
      </c>
      <c r="DG1" s="10" t="s">
        <v>120</v>
      </c>
      <c r="DH1" s="10" t="s">
        <v>121</v>
      </c>
      <c r="DI1" s="10" t="s">
        <v>122</v>
      </c>
      <c r="DJ1" s="10" t="s">
        <v>123</v>
      </c>
      <c r="DK1" s="10" t="s">
        <v>124</v>
      </c>
      <c r="DL1" s="10" t="s">
        <v>125</v>
      </c>
      <c r="DM1" s="10" t="s">
        <v>126</v>
      </c>
      <c r="DN1" s="10" t="s">
        <v>127</v>
      </c>
      <c r="DO1" s="10" t="s">
        <v>128</v>
      </c>
      <c r="DP1" s="10" t="s">
        <v>129</v>
      </c>
      <c r="DQ1" s="10" t="s">
        <v>130</v>
      </c>
      <c r="DR1" s="10" t="s">
        <v>131</v>
      </c>
      <c r="DS1" s="10" t="s">
        <v>132</v>
      </c>
      <c r="DT1" s="10" t="s">
        <v>133</v>
      </c>
      <c r="DU1" s="10" t="s">
        <v>134</v>
      </c>
      <c r="DV1" s="10" t="s">
        <v>135</v>
      </c>
      <c r="DW1" s="10" t="s">
        <v>136</v>
      </c>
      <c r="DX1" s="10" t="s">
        <v>137</v>
      </c>
      <c r="DY1" s="10" t="s">
        <v>138</v>
      </c>
      <c r="DZ1" s="10" t="s">
        <v>139</v>
      </c>
      <c r="EA1" s="10" t="s">
        <v>140</v>
      </c>
      <c r="EB1" s="10" t="s">
        <v>141</v>
      </c>
      <c r="EC1" s="10" t="s">
        <v>142</v>
      </c>
      <c r="ED1" s="10" t="s">
        <v>143</v>
      </c>
      <c r="EE1" s="10" t="s">
        <v>144</v>
      </c>
      <c r="EF1" s="10" t="s">
        <v>145</v>
      </c>
      <c r="EG1" s="10" t="s">
        <v>146</v>
      </c>
      <c r="EH1" s="10" t="s">
        <v>147</v>
      </c>
      <c r="EI1" s="10" t="s">
        <v>148</v>
      </c>
      <c r="EJ1" s="10" t="s">
        <v>149</v>
      </c>
      <c r="EK1" s="10" t="s">
        <v>150</v>
      </c>
      <c r="EL1" s="10" t="s">
        <v>151</v>
      </c>
      <c r="EM1" s="10" t="s">
        <v>152</v>
      </c>
      <c r="EN1" s="10" t="s">
        <v>153</v>
      </c>
      <c r="EO1" s="10" t="s">
        <v>154</v>
      </c>
      <c r="EP1" s="10" t="s">
        <v>155</v>
      </c>
      <c r="EQ1" s="10" t="s">
        <v>156</v>
      </c>
      <c r="ER1" s="10" t="s">
        <v>157</v>
      </c>
      <c r="ES1" s="10" t="s">
        <v>158</v>
      </c>
      <c r="ET1" s="10" t="s">
        <v>159</v>
      </c>
      <c r="EU1" s="10" t="s">
        <v>160</v>
      </c>
      <c r="EV1" s="10" t="s">
        <v>161</v>
      </c>
      <c r="EW1" s="10" t="s">
        <v>162</v>
      </c>
      <c r="EX1" s="10" t="s">
        <v>163</v>
      </c>
      <c r="EY1" s="10" t="s">
        <v>164</v>
      </c>
      <c r="EZ1" s="10" t="s">
        <v>165</v>
      </c>
      <c r="FA1" s="10" t="s">
        <v>166</v>
      </c>
      <c r="FB1" s="10" t="s">
        <v>167</v>
      </c>
      <c r="FC1" s="10" t="s">
        <v>168</v>
      </c>
      <c r="FD1" s="10" t="s">
        <v>169</v>
      </c>
      <c r="FE1" s="10" t="s">
        <v>170</v>
      </c>
      <c r="FF1" s="10" t="s">
        <v>171</v>
      </c>
      <c r="FG1" s="10" t="s">
        <v>172</v>
      </c>
      <c r="FH1" s="10" t="s">
        <v>173</v>
      </c>
      <c r="FI1" s="10" t="s">
        <v>174</v>
      </c>
      <c r="FJ1" s="10" t="s">
        <v>175</v>
      </c>
      <c r="FK1" s="10" t="s">
        <v>176</v>
      </c>
      <c r="FL1" s="10" t="s">
        <v>177</v>
      </c>
      <c r="FM1" s="10" t="s">
        <v>178</v>
      </c>
      <c r="FN1" s="10" t="s">
        <v>179</v>
      </c>
      <c r="FO1" s="10" t="s">
        <v>180</v>
      </c>
      <c r="FP1" s="10" t="s">
        <v>181</v>
      </c>
      <c r="FQ1" s="10" t="s">
        <v>182</v>
      </c>
      <c r="FR1" s="10" t="s">
        <v>183</v>
      </c>
      <c r="FS1" s="10" t="s">
        <v>184</v>
      </c>
      <c r="FT1" s="10" t="s">
        <v>185</v>
      </c>
      <c r="FU1" s="10" t="s">
        <v>186</v>
      </c>
      <c r="FV1" s="10" t="s">
        <v>187</v>
      </c>
      <c r="FW1" s="10" t="s">
        <v>188</v>
      </c>
      <c r="FX1" s="10" t="s">
        <v>189</v>
      </c>
      <c r="FY1" s="10" t="s">
        <v>190</v>
      </c>
      <c r="FZ1" s="10" t="s">
        <v>191</v>
      </c>
      <c r="GA1" s="10" t="s">
        <v>192</v>
      </c>
      <c r="GB1" s="10" t="s">
        <v>193</v>
      </c>
      <c r="GC1" s="10" t="s">
        <v>194</v>
      </c>
      <c r="GD1" s="10" t="s">
        <v>195</v>
      </c>
      <c r="GE1" s="10" t="s">
        <v>196</v>
      </c>
      <c r="GF1" s="10" t="s">
        <v>197</v>
      </c>
      <c r="GG1" s="10" t="s">
        <v>198</v>
      </c>
      <c r="GH1" s="10" t="s">
        <v>199</v>
      </c>
      <c r="GI1" s="10" t="s">
        <v>200</v>
      </c>
      <c r="GJ1" s="10" t="s">
        <v>201</v>
      </c>
      <c r="GK1" s="10" t="s">
        <v>202</v>
      </c>
      <c r="GL1" s="10" t="s">
        <v>203</v>
      </c>
      <c r="GM1" s="10" t="s">
        <v>204</v>
      </c>
      <c r="GN1" s="10" t="s">
        <v>205</v>
      </c>
      <c r="GO1" s="10" t="s">
        <v>206</v>
      </c>
      <c r="GP1" s="10" t="s">
        <v>207</v>
      </c>
      <c r="GQ1" s="10" t="s">
        <v>208</v>
      </c>
      <c r="GR1" s="10" t="s">
        <v>209</v>
      </c>
      <c r="GS1" s="10" t="s">
        <v>210</v>
      </c>
      <c r="GT1" s="10" t="s">
        <v>211</v>
      </c>
      <c r="GU1" s="10" t="s">
        <v>212</v>
      </c>
      <c r="GV1" s="10" t="s">
        <v>213</v>
      </c>
      <c r="GW1" s="10" t="s">
        <v>214</v>
      </c>
      <c r="GX1" s="10" t="s">
        <v>215</v>
      </c>
      <c r="GY1" s="10" t="s">
        <v>216</v>
      </c>
      <c r="GZ1" s="10" t="s">
        <v>217</v>
      </c>
      <c r="HA1" s="10" t="s">
        <v>218</v>
      </c>
      <c r="HB1" s="10" t="s">
        <v>219</v>
      </c>
      <c r="HC1" s="10" t="s">
        <v>220</v>
      </c>
      <c r="HD1" s="10" t="s">
        <v>221</v>
      </c>
      <c r="HE1" s="10" t="s">
        <v>222</v>
      </c>
      <c r="HF1" s="10" t="s">
        <v>223</v>
      </c>
      <c r="HG1" s="10" t="s">
        <v>224</v>
      </c>
      <c r="HH1" s="10" t="s">
        <v>225</v>
      </c>
      <c r="HI1" s="10" t="s">
        <v>226</v>
      </c>
      <c r="HJ1" s="10" t="s">
        <v>227</v>
      </c>
      <c r="HK1" s="10" t="s">
        <v>228</v>
      </c>
      <c r="HL1" s="10" t="s">
        <v>229</v>
      </c>
      <c r="HM1" s="10" t="s">
        <v>230</v>
      </c>
      <c r="HN1" s="10" t="s">
        <v>231</v>
      </c>
      <c r="HO1" s="10" t="s">
        <v>232</v>
      </c>
      <c r="HP1" s="10" t="s">
        <v>233</v>
      </c>
      <c r="HQ1" s="10" t="s">
        <v>234</v>
      </c>
      <c r="HR1" s="10" t="s">
        <v>235</v>
      </c>
      <c r="HS1" s="10" t="s">
        <v>236</v>
      </c>
      <c r="HT1" s="10" t="s">
        <v>237</v>
      </c>
      <c r="HU1" s="10" t="s">
        <v>238</v>
      </c>
      <c r="HV1" s="10" t="s">
        <v>239</v>
      </c>
      <c r="HW1" s="10" t="s">
        <v>240</v>
      </c>
      <c r="HX1" s="10" t="s">
        <v>241</v>
      </c>
      <c r="HY1" s="10" t="s">
        <v>242</v>
      </c>
      <c r="HZ1" s="10" t="s">
        <v>243</v>
      </c>
      <c r="IA1" s="10" t="s">
        <v>244</v>
      </c>
      <c r="IB1" s="10" t="s">
        <v>245</v>
      </c>
      <c r="IC1" s="10" t="s">
        <v>246</v>
      </c>
      <c r="ID1" s="10" t="s">
        <v>247</v>
      </c>
      <c r="IE1" s="10" t="s">
        <v>248</v>
      </c>
      <c r="IF1" s="10" t="s">
        <v>249</v>
      </c>
      <c r="IG1" s="10" t="s">
        <v>250</v>
      </c>
      <c r="IH1" s="10" t="s">
        <v>251</v>
      </c>
      <c r="II1" s="10" t="s">
        <v>252</v>
      </c>
      <c r="IJ1" s="10" t="s">
        <v>253</v>
      </c>
      <c r="IK1" s="10" t="s">
        <v>254</v>
      </c>
      <c r="IL1" s="10" t="s">
        <v>255</v>
      </c>
      <c r="IM1" s="10" t="s">
        <v>256</v>
      </c>
      <c r="IN1" s="10" t="s">
        <v>257</v>
      </c>
      <c r="IO1" s="10" t="s">
        <v>258</v>
      </c>
      <c r="IP1" s="10" t="s">
        <v>259</v>
      </c>
      <c r="IQ1" s="18" t="s">
        <v>260</v>
      </c>
    </row>
    <row r="2" spans="1:321" s="43" customFormat="1" ht="20" thickBot="1" x14ac:dyDescent="0.3">
      <c r="A2" s="12" t="s">
        <v>59</v>
      </c>
      <c r="B2" s="99"/>
      <c r="IQ2" s="44"/>
    </row>
    <row r="3" spans="1:321" x14ac:dyDescent="0.25">
      <c r="A3" s="20" t="s">
        <v>4</v>
      </c>
      <c r="B3" s="45">
        <v>1</v>
      </c>
      <c r="C3" s="37">
        <v>2</v>
      </c>
      <c r="AM3" s="93">
        <v>1</v>
      </c>
      <c r="AN3" s="93">
        <v>2</v>
      </c>
      <c r="BJ3" s="37">
        <v>1</v>
      </c>
      <c r="BK3" s="37">
        <v>2</v>
      </c>
      <c r="CN3" s="93">
        <v>1</v>
      </c>
      <c r="CO3" s="93">
        <v>2</v>
      </c>
      <c r="DR3" s="37">
        <v>1</v>
      </c>
      <c r="DS3" s="37">
        <v>2</v>
      </c>
      <c r="EV3" s="93">
        <v>1</v>
      </c>
      <c r="EW3" s="93">
        <v>2</v>
      </c>
      <c r="FZ3" s="37">
        <v>1</v>
      </c>
      <c r="GA3" s="37">
        <v>2</v>
      </c>
      <c r="HD3" s="93">
        <v>1</v>
      </c>
      <c r="HE3" s="93">
        <v>2</v>
      </c>
      <c r="IH3" s="37">
        <v>1</v>
      </c>
      <c r="II3" s="37">
        <v>2</v>
      </c>
    </row>
    <row r="4" spans="1:321" x14ac:dyDescent="0.25">
      <c r="A4" s="19" t="s">
        <v>5</v>
      </c>
      <c r="D4" s="38">
        <v>1</v>
      </c>
      <c r="E4" s="38">
        <v>2</v>
      </c>
      <c r="F4" s="38">
        <v>3</v>
      </c>
      <c r="G4" s="38">
        <v>4</v>
      </c>
      <c r="AO4" s="94">
        <v>1</v>
      </c>
      <c r="AP4" s="94">
        <v>2</v>
      </c>
      <c r="AQ4" s="94">
        <v>3</v>
      </c>
      <c r="AR4" s="94">
        <v>4</v>
      </c>
      <c r="BL4" s="38">
        <v>1</v>
      </c>
      <c r="BM4" s="38">
        <v>2</v>
      </c>
      <c r="BN4" s="38">
        <v>3</v>
      </c>
      <c r="BO4" s="38">
        <v>4</v>
      </c>
      <c r="CP4" s="94">
        <v>1</v>
      </c>
      <c r="CQ4" s="94">
        <v>2</v>
      </c>
      <c r="CR4" s="94">
        <v>3</v>
      </c>
      <c r="CS4" s="94">
        <v>4</v>
      </c>
      <c r="DT4" s="38">
        <v>1</v>
      </c>
      <c r="DU4" s="38">
        <v>2</v>
      </c>
      <c r="DV4" s="38">
        <v>3</v>
      </c>
      <c r="DW4" s="38">
        <v>4</v>
      </c>
      <c r="EX4" s="94">
        <v>1</v>
      </c>
      <c r="EY4" s="94">
        <v>2</v>
      </c>
      <c r="EZ4" s="94">
        <v>3</v>
      </c>
      <c r="FA4" s="94">
        <v>4</v>
      </c>
      <c r="GI4" s="38">
        <v>1</v>
      </c>
      <c r="GJ4" s="38">
        <v>2</v>
      </c>
      <c r="GK4" s="38">
        <v>3</v>
      </c>
      <c r="GL4" s="38">
        <v>4</v>
      </c>
      <c r="HF4" s="94">
        <v>1</v>
      </c>
      <c r="HG4" s="94">
        <v>2</v>
      </c>
      <c r="HH4" s="94">
        <v>3</v>
      </c>
      <c r="HI4" s="94">
        <v>4</v>
      </c>
      <c r="IJ4" s="38">
        <v>1</v>
      </c>
      <c r="IK4" s="38">
        <v>2</v>
      </c>
      <c r="IL4" s="38">
        <v>3</v>
      </c>
      <c r="IM4" s="38">
        <v>4</v>
      </c>
    </row>
    <row r="5" spans="1:321" x14ac:dyDescent="0.25">
      <c r="A5" s="21" t="s">
        <v>6</v>
      </c>
      <c r="H5" s="39">
        <v>1</v>
      </c>
      <c r="I5" s="39">
        <v>2</v>
      </c>
      <c r="J5" s="39">
        <v>3</v>
      </c>
      <c r="K5" s="39">
        <v>4</v>
      </c>
      <c r="L5" s="39">
        <v>5</v>
      </c>
      <c r="M5" s="39">
        <v>6</v>
      </c>
      <c r="N5" s="39">
        <v>7</v>
      </c>
      <c r="O5" s="39">
        <v>8</v>
      </c>
      <c r="P5" s="39">
        <v>9</v>
      </c>
      <c r="Q5" s="39">
        <v>10</v>
      </c>
      <c r="AX5" s="95">
        <v>1</v>
      </c>
      <c r="AY5" s="95">
        <v>2</v>
      </c>
      <c r="AZ5" s="95">
        <v>3</v>
      </c>
      <c r="BA5" s="95">
        <v>4</v>
      </c>
      <c r="BB5" s="95">
        <v>5</v>
      </c>
      <c r="BC5" s="95">
        <v>6</v>
      </c>
      <c r="BD5" s="95">
        <v>7</v>
      </c>
      <c r="BE5" s="95">
        <v>8</v>
      </c>
      <c r="BF5" s="95">
        <v>9</v>
      </c>
      <c r="BG5" s="95">
        <v>10</v>
      </c>
      <c r="CT5" s="39">
        <v>1</v>
      </c>
      <c r="CU5" s="39">
        <v>2</v>
      </c>
      <c r="CV5" s="39">
        <v>3</v>
      </c>
      <c r="CW5" s="39">
        <v>4</v>
      </c>
      <c r="CX5" s="39">
        <v>5</v>
      </c>
      <c r="CY5" s="39">
        <v>6</v>
      </c>
      <c r="CZ5" s="39">
        <v>7</v>
      </c>
      <c r="DA5" s="39">
        <v>8</v>
      </c>
      <c r="DB5" s="39">
        <v>9</v>
      </c>
      <c r="DC5" s="39">
        <v>10</v>
      </c>
      <c r="EJ5" s="95">
        <v>1</v>
      </c>
      <c r="EK5" s="95">
        <v>2</v>
      </c>
      <c r="EL5" s="95">
        <v>3</v>
      </c>
      <c r="EM5" s="95">
        <v>4</v>
      </c>
      <c r="EN5" s="95">
        <v>5</v>
      </c>
      <c r="EO5" s="95">
        <v>6</v>
      </c>
      <c r="EP5" s="95">
        <v>7</v>
      </c>
      <c r="EQ5" s="95">
        <v>8</v>
      </c>
      <c r="ER5" s="95">
        <v>9</v>
      </c>
      <c r="ES5" s="95">
        <v>10</v>
      </c>
      <c r="FW5" s="39">
        <v>1</v>
      </c>
      <c r="FX5" s="39">
        <v>2</v>
      </c>
      <c r="FY5" s="39">
        <v>3</v>
      </c>
      <c r="GB5" s="39">
        <v>4</v>
      </c>
      <c r="GC5" s="39">
        <v>5</v>
      </c>
      <c r="GD5" s="39">
        <v>6</v>
      </c>
      <c r="GE5" s="39">
        <v>7</v>
      </c>
      <c r="GF5" s="39">
        <v>8</v>
      </c>
      <c r="GG5" s="39">
        <v>9</v>
      </c>
      <c r="GH5" s="39">
        <v>10</v>
      </c>
      <c r="GT5" s="95">
        <v>1</v>
      </c>
      <c r="GU5" s="95">
        <v>2</v>
      </c>
      <c r="GV5" s="95">
        <v>3</v>
      </c>
      <c r="GW5" s="95">
        <v>4</v>
      </c>
      <c r="GX5" s="95">
        <v>5</v>
      </c>
      <c r="GY5" s="95">
        <v>6</v>
      </c>
      <c r="GZ5" s="95">
        <v>7</v>
      </c>
      <c r="HA5" s="95">
        <v>8</v>
      </c>
      <c r="HB5" s="95">
        <v>9</v>
      </c>
      <c r="HC5" s="95">
        <v>10</v>
      </c>
    </row>
    <row r="6" spans="1:321" x14ac:dyDescent="0.25">
      <c r="A6" s="15" t="s">
        <v>7</v>
      </c>
      <c r="R6" s="40">
        <v>1</v>
      </c>
      <c r="S6" s="40">
        <v>2</v>
      </c>
      <c r="T6" s="40">
        <v>3</v>
      </c>
      <c r="U6" s="40">
        <v>4</v>
      </c>
      <c r="V6" s="40">
        <v>5</v>
      </c>
      <c r="W6" s="40">
        <v>6</v>
      </c>
      <c r="X6" s="40">
        <v>7</v>
      </c>
      <c r="Y6" s="40">
        <v>8</v>
      </c>
      <c r="Z6" s="40">
        <v>9</v>
      </c>
      <c r="AA6" s="40">
        <v>10</v>
      </c>
      <c r="AB6" s="40">
        <v>11</v>
      </c>
      <c r="AC6" s="40">
        <v>12</v>
      </c>
      <c r="AD6" s="40">
        <v>13</v>
      </c>
      <c r="AE6" s="40">
        <v>14</v>
      </c>
      <c r="AF6" s="40">
        <v>15</v>
      </c>
      <c r="AG6" s="40">
        <v>16</v>
      </c>
      <c r="AH6" s="40">
        <v>17</v>
      </c>
      <c r="AI6" s="40">
        <v>18</v>
      </c>
      <c r="AJ6" s="40">
        <v>19</v>
      </c>
      <c r="AK6" s="40">
        <v>20</v>
      </c>
      <c r="AL6" s="40">
        <v>21</v>
      </c>
      <c r="BH6" s="96">
        <v>1</v>
      </c>
      <c r="BI6" s="96">
        <v>2</v>
      </c>
      <c r="BP6" s="96">
        <v>3</v>
      </c>
      <c r="BQ6" s="96">
        <v>4</v>
      </c>
      <c r="BR6" s="96">
        <v>5</v>
      </c>
      <c r="BS6" s="96">
        <v>6</v>
      </c>
      <c r="BT6" s="96">
        <v>7</v>
      </c>
      <c r="BU6" s="96">
        <v>8</v>
      </c>
      <c r="BV6" s="96">
        <v>9</v>
      </c>
      <c r="BW6" s="96">
        <v>10</v>
      </c>
      <c r="BX6" s="96">
        <v>11</v>
      </c>
      <c r="BY6" s="96">
        <v>12</v>
      </c>
      <c r="BZ6" s="96">
        <v>13</v>
      </c>
      <c r="CA6" s="96">
        <v>14</v>
      </c>
      <c r="CB6" s="96">
        <v>15</v>
      </c>
      <c r="CC6" s="96">
        <v>16</v>
      </c>
      <c r="CD6" s="96">
        <v>17</v>
      </c>
      <c r="CE6" s="96">
        <v>18</v>
      </c>
      <c r="CF6" s="96">
        <v>19</v>
      </c>
      <c r="CG6" s="96">
        <v>20</v>
      </c>
      <c r="CH6" s="96">
        <v>21</v>
      </c>
      <c r="DD6" s="40">
        <v>1</v>
      </c>
      <c r="DE6" s="40">
        <v>2</v>
      </c>
      <c r="DF6" s="40">
        <v>3</v>
      </c>
      <c r="DG6" s="40">
        <v>4</v>
      </c>
      <c r="DH6" s="40">
        <v>5</v>
      </c>
      <c r="DI6" s="40">
        <v>6</v>
      </c>
      <c r="DJ6" s="40">
        <v>7</v>
      </c>
      <c r="DK6" s="40">
        <v>8</v>
      </c>
      <c r="DL6" s="40">
        <v>9</v>
      </c>
      <c r="DM6" s="40">
        <v>10</v>
      </c>
      <c r="DN6" s="40">
        <v>11</v>
      </c>
      <c r="DO6" s="40">
        <v>12</v>
      </c>
      <c r="DP6" s="40">
        <v>13</v>
      </c>
      <c r="DQ6" s="40">
        <v>14</v>
      </c>
      <c r="DX6" s="40">
        <v>15</v>
      </c>
      <c r="DY6" s="40">
        <v>16</v>
      </c>
      <c r="DZ6" s="40">
        <v>17</v>
      </c>
      <c r="EA6" s="40">
        <v>18</v>
      </c>
      <c r="EB6" s="40">
        <v>19</v>
      </c>
      <c r="EC6" s="40">
        <v>20</v>
      </c>
      <c r="ED6" s="40">
        <v>21</v>
      </c>
      <c r="FB6" s="96">
        <v>1</v>
      </c>
      <c r="FC6" s="96">
        <v>2</v>
      </c>
      <c r="FD6" s="96">
        <v>3</v>
      </c>
      <c r="FE6" s="96">
        <v>4</v>
      </c>
      <c r="FF6" s="96">
        <v>5</v>
      </c>
      <c r="FG6" s="96">
        <v>6</v>
      </c>
      <c r="FH6" s="96">
        <v>7</v>
      </c>
      <c r="FI6" s="96">
        <v>8</v>
      </c>
      <c r="FJ6" s="96">
        <v>9</v>
      </c>
      <c r="FK6" s="96">
        <v>10</v>
      </c>
      <c r="FL6" s="96">
        <v>11</v>
      </c>
      <c r="FM6" s="96">
        <v>12</v>
      </c>
      <c r="FN6" s="96">
        <v>13</v>
      </c>
      <c r="FO6" s="96">
        <v>14</v>
      </c>
      <c r="FP6" s="96">
        <v>15</v>
      </c>
      <c r="FQ6" s="96">
        <v>16</v>
      </c>
      <c r="FR6" s="96">
        <v>17</v>
      </c>
      <c r="FS6" s="96">
        <v>18</v>
      </c>
      <c r="FT6" s="96">
        <v>19</v>
      </c>
      <c r="FU6" s="96">
        <v>20</v>
      </c>
      <c r="FV6" s="96">
        <v>21</v>
      </c>
      <c r="HJ6" s="40">
        <v>1</v>
      </c>
      <c r="HK6" s="40">
        <v>2</v>
      </c>
      <c r="HL6" s="40">
        <v>3</v>
      </c>
      <c r="HM6" s="40">
        <v>4</v>
      </c>
      <c r="HN6" s="40">
        <v>5</v>
      </c>
      <c r="HO6" s="40">
        <v>6</v>
      </c>
      <c r="HP6" s="40">
        <v>7</v>
      </c>
      <c r="HQ6" s="40">
        <v>8</v>
      </c>
      <c r="HR6" s="40">
        <v>9</v>
      </c>
      <c r="HS6" s="40">
        <v>10</v>
      </c>
      <c r="HT6" s="40">
        <v>11</v>
      </c>
      <c r="HU6" s="40">
        <v>12</v>
      </c>
      <c r="HV6" s="40">
        <v>13</v>
      </c>
      <c r="HW6" s="40">
        <v>14</v>
      </c>
      <c r="HX6" s="40">
        <v>15</v>
      </c>
      <c r="HY6" s="40">
        <v>16</v>
      </c>
      <c r="HZ6" s="40">
        <v>17</v>
      </c>
      <c r="IA6" s="40">
        <v>18</v>
      </c>
      <c r="IB6" s="40">
        <v>19</v>
      </c>
      <c r="IC6" s="40">
        <v>20</v>
      </c>
      <c r="ID6" s="40">
        <v>21</v>
      </c>
    </row>
    <row r="7" spans="1:321" s="14" customFormat="1" ht="20" thickBot="1" x14ac:dyDescent="0.3">
      <c r="A7" s="22" t="s">
        <v>8</v>
      </c>
      <c r="B7" s="100"/>
      <c r="AS7" s="73">
        <v>1</v>
      </c>
      <c r="AT7" s="73">
        <v>2</v>
      </c>
      <c r="AU7" s="73">
        <v>3</v>
      </c>
      <c r="AV7" s="73">
        <v>4</v>
      </c>
      <c r="AW7" s="73">
        <v>5</v>
      </c>
      <c r="CI7" s="97">
        <v>1</v>
      </c>
      <c r="CJ7" s="97">
        <v>2</v>
      </c>
      <c r="CK7" s="97">
        <v>3</v>
      </c>
      <c r="CL7" s="97">
        <v>4</v>
      </c>
      <c r="CM7" s="97">
        <v>5</v>
      </c>
      <c r="EE7" s="73">
        <v>1</v>
      </c>
      <c r="EF7" s="73">
        <v>2</v>
      </c>
      <c r="EG7" s="73">
        <v>3</v>
      </c>
      <c r="EH7" s="73">
        <v>4</v>
      </c>
      <c r="EI7" s="73">
        <v>5</v>
      </c>
      <c r="GM7" s="97">
        <v>1</v>
      </c>
      <c r="GN7" s="97">
        <v>2</v>
      </c>
      <c r="GO7" s="97">
        <v>3</v>
      </c>
      <c r="GP7" s="97">
        <v>4</v>
      </c>
      <c r="GQ7" s="97">
        <v>5</v>
      </c>
      <c r="IE7" s="73">
        <v>1</v>
      </c>
      <c r="IF7" s="73">
        <v>2</v>
      </c>
      <c r="IG7" s="73">
        <v>3</v>
      </c>
      <c r="IN7" s="73">
        <v>4</v>
      </c>
      <c r="IO7" s="73">
        <v>5</v>
      </c>
      <c r="IQ7" s="17"/>
    </row>
    <row r="8" spans="1:321" s="43" customFormat="1" ht="20" thickBot="1" x14ac:dyDescent="0.3">
      <c r="A8" s="12" t="s">
        <v>60</v>
      </c>
      <c r="B8" s="99"/>
      <c r="IQ8" s="44"/>
    </row>
    <row r="9" spans="1:321" s="6" customFormat="1" x14ac:dyDescent="0.25">
      <c r="A9" s="20" t="s">
        <v>4</v>
      </c>
      <c r="B9" s="101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60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60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75"/>
      <c r="EW9" s="75"/>
      <c r="EX9" s="75"/>
      <c r="EY9" s="75"/>
      <c r="EZ9" s="75"/>
      <c r="FA9" s="75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75"/>
      <c r="FM9" s="75"/>
      <c r="FN9" s="75"/>
      <c r="FO9" s="75"/>
      <c r="FP9" s="75"/>
      <c r="FQ9" s="75"/>
      <c r="FR9" s="75"/>
      <c r="FS9" s="75"/>
      <c r="FT9" s="75"/>
      <c r="FU9" s="75"/>
      <c r="FV9" s="75"/>
      <c r="FW9" s="75"/>
      <c r="FX9" s="75"/>
      <c r="FY9" s="75"/>
      <c r="FZ9" s="60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75"/>
      <c r="HE9" s="75"/>
      <c r="HF9" s="75"/>
      <c r="HG9" s="75"/>
      <c r="HH9" s="75"/>
      <c r="HI9" s="75"/>
      <c r="HJ9" s="75"/>
      <c r="HK9" s="75"/>
      <c r="HL9" s="75"/>
      <c r="HM9" s="75"/>
      <c r="HN9" s="75"/>
      <c r="HO9" s="75"/>
      <c r="HP9" s="75"/>
      <c r="HQ9" s="75"/>
      <c r="HR9" s="75"/>
      <c r="HS9" s="75"/>
      <c r="HT9" s="75"/>
      <c r="HU9" s="75"/>
      <c r="HV9" s="75"/>
      <c r="HW9" s="75"/>
      <c r="HX9" s="75"/>
      <c r="HY9" s="75"/>
      <c r="HZ9" s="75"/>
      <c r="IA9" s="75"/>
      <c r="IB9" s="75"/>
      <c r="IC9" s="75"/>
      <c r="ID9" s="75"/>
      <c r="IE9" s="75"/>
      <c r="IF9" s="75"/>
      <c r="IG9" s="75"/>
      <c r="IH9" s="60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75"/>
      <c r="JM9" s="75"/>
      <c r="JN9" s="75"/>
      <c r="JO9" s="75"/>
      <c r="JP9" s="75"/>
      <c r="JQ9" s="75"/>
      <c r="JR9" s="75"/>
      <c r="JS9" s="75"/>
      <c r="JT9" s="75"/>
      <c r="JU9" s="75"/>
      <c r="JV9" s="75"/>
      <c r="JW9" s="75"/>
      <c r="JX9" s="75"/>
      <c r="JY9" s="75"/>
      <c r="JZ9" s="75"/>
      <c r="KA9" s="75"/>
      <c r="KB9" s="75"/>
      <c r="KC9" s="75"/>
      <c r="KD9" s="75"/>
      <c r="KE9" s="75"/>
      <c r="KF9" s="75"/>
      <c r="KG9" s="75"/>
      <c r="KH9" s="75"/>
      <c r="KI9" s="75"/>
      <c r="KJ9" s="75"/>
      <c r="KK9" s="75"/>
      <c r="KL9" s="75"/>
      <c r="KM9" s="75"/>
      <c r="KN9" s="75"/>
      <c r="KO9" s="75"/>
    </row>
    <row r="10" spans="1:321" s="25" customFormat="1" x14ac:dyDescent="0.25">
      <c r="A10" s="19" t="s">
        <v>5</v>
      </c>
      <c r="B10" s="102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61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61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  <c r="FU10" s="76"/>
      <c r="FV10" s="76"/>
      <c r="FW10" s="76"/>
      <c r="FX10" s="76"/>
      <c r="FY10" s="76"/>
      <c r="FZ10" s="61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76"/>
      <c r="HE10" s="76"/>
      <c r="HF10" s="76"/>
      <c r="HG10" s="76"/>
      <c r="HH10" s="76"/>
      <c r="HI10" s="76"/>
      <c r="HJ10" s="76"/>
      <c r="HK10" s="76"/>
      <c r="HL10" s="76"/>
      <c r="HM10" s="76"/>
      <c r="HN10" s="76"/>
      <c r="HO10" s="76"/>
      <c r="HP10" s="76"/>
      <c r="HQ10" s="76"/>
      <c r="HR10" s="76"/>
      <c r="HS10" s="76"/>
      <c r="HT10" s="76"/>
      <c r="HU10" s="76"/>
      <c r="HV10" s="76"/>
      <c r="HW10" s="76"/>
      <c r="HX10" s="76"/>
      <c r="HY10" s="76"/>
      <c r="HZ10" s="76"/>
      <c r="IA10" s="76"/>
      <c r="IB10" s="76"/>
      <c r="IC10" s="76"/>
      <c r="ID10" s="76"/>
      <c r="IE10" s="76"/>
      <c r="IF10" s="76"/>
      <c r="IG10" s="76"/>
      <c r="IH10" s="61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76"/>
      <c r="JM10" s="76"/>
      <c r="JN10" s="76"/>
      <c r="JO10" s="76"/>
      <c r="JP10" s="76"/>
      <c r="JQ10" s="76"/>
      <c r="JR10" s="76"/>
      <c r="JS10" s="76"/>
      <c r="JT10" s="76"/>
      <c r="JU10" s="76"/>
      <c r="JV10" s="76"/>
      <c r="JW10" s="76"/>
      <c r="JX10" s="76"/>
      <c r="JY10" s="76"/>
      <c r="JZ10" s="76"/>
      <c r="KA10" s="76"/>
      <c r="KB10" s="76"/>
      <c r="KC10" s="76"/>
      <c r="KD10" s="76"/>
      <c r="KE10" s="76"/>
      <c r="KF10" s="76"/>
      <c r="KG10" s="76"/>
      <c r="KH10" s="76"/>
      <c r="KI10" s="76"/>
      <c r="KJ10" s="76"/>
      <c r="KK10" s="76"/>
      <c r="KL10" s="76"/>
      <c r="KM10" s="76"/>
      <c r="KN10" s="76"/>
      <c r="KO10" s="76"/>
    </row>
    <row r="11" spans="1:321" s="25" customFormat="1" x14ac:dyDescent="0.25">
      <c r="A11" s="21" t="s">
        <v>6</v>
      </c>
      <c r="B11" s="103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62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74"/>
      <c r="DS11" s="74"/>
      <c r="DT11" s="74"/>
      <c r="DU11" s="74"/>
      <c r="DV11" s="74"/>
      <c r="DW11" s="74"/>
      <c r="DX11" s="74"/>
      <c r="DY11" s="74"/>
      <c r="DZ11" s="74"/>
      <c r="EA11" s="74"/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4"/>
      <c r="EM11" s="74"/>
      <c r="EN11" s="74"/>
      <c r="EO11" s="74"/>
      <c r="EP11" s="74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62"/>
      <c r="FG11" s="51"/>
      <c r="FH11" s="51"/>
      <c r="FI11" s="51"/>
      <c r="FJ11" s="51"/>
      <c r="FK11" s="51"/>
      <c r="FL11" s="51"/>
      <c r="FM11" s="51"/>
      <c r="FN11" s="51"/>
      <c r="FO11" s="51"/>
      <c r="FP11" s="51"/>
      <c r="FQ11" s="51"/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62"/>
      <c r="II11" s="51"/>
      <c r="IJ11" s="51"/>
      <c r="IK11" s="51"/>
      <c r="IL11" s="51"/>
      <c r="IM11" s="51"/>
      <c r="IN11" s="51"/>
      <c r="IO11" s="51"/>
      <c r="IP11" s="51"/>
      <c r="IQ11" s="51"/>
      <c r="IR11" s="51"/>
      <c r="IS11" s="51"/>
      <c r="IT11" s="51"/>
      <c r="IU11" s="51"/>
      <c r="IV11" s="51"/>
      <c r="IW11" s="51"/>
      <c r="IX11" s="51"/>
      <c r="IY11" s="51"/>
      <c r="IZ11" s="51"/>
      <c r="JA11" s="51"/>
      <c r="JB11" s="51"/>
      <c r="JC11" s="51"/>
      <c r="JD11" s="51"/>
      <c r="JE11" s="51"/>
      <c r="JF11" s="51"/>
      <c r="JG11" s="51"/>
      <c r="JH11" s="51"/>
      <c r="JI11" s="51"/>
      <c r="JJ11" s="51"/>
      <c r="JK11" s="51"/>
      <c r="JL11" s="51"/>
      <c r="JM11" s="51"/>
      <c r="JN11" s="51"/>
      <c r="JO11" s="51"/>
      <c r="JP11" s="51"/>
      <c r="JQ11" s="51"/>
      <c r="JR11" s="51"/>
      <c r="JS11" s="51"/>
      <c r="JT11" s="51"/>
      <c r="JU11" s="51"/>
      <c r="JV11" s="74"/>
      <c r="JW11" s="74"/>
      <c r="JX11" s="74"/>
      <c r="JY11" s="74"/>
      <c r="JZ11" s="74"/>
      <c r="KA11" s="74"/>
      <c r="KB11" s="74"/>
      <c r="KC11" s="74"/>
      <c r="KD11" s="74"/>
      <c r="KE11" s="74"/>
      <c r="KF11" s="74"/>
      <c r="KG11" s="74"/>
      <c r="KH11" s="74"/>
      <c r="KI11" s="74"/>
      <c r="KJ11" s="74"/>
      <c r="KK11" s="74"/>
      <c r="KL11" s="74"/>
      <c r="KM11" s="74"/>
      <c r="KN11" s="74"/>
      <c r="KO11" s="74"/>
      <c r="KP11" s="74"/>
      <c r="KQ11" s="74"/>
      <c r="KR11" s="74"/>
      <c r="KS11" s="74"/>
      <c r="KT11" s="74"/>
      <c r="KU11" s="74"/>
      <c r="KV11" s="74"/>
      <c r="KW11" s="74"/>
      <c r="KX11" s="74"/>
      <c r="KY11" s="74"/>
      <c r="KZ11" s="74"/>
      <c r="LA11" s="74"/>
      <c r="LB11" s="74"/>
      <c r="LC11" s="74"/>
      <c r="LD11" s="74"/>
      <c r="LE11" s="74"/>
      <c r="LF11" s="74"/>
      <c r="LG11" s="74"/>
      <c r="LH11" s="74"/>
      <c r="LI11" s="74"/>
    </row>
    <row r="12" spans="1:321" s="25" customFormat="1" x14ac:dyDescent="0.25">
      <c r="A12" s="15" t="s">
        <v>7</v>
      </c>
      <c r="B12" s="104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86"/>
      <c r="CN12" s="86"/>
      <c r="CO12" s="86"/>
      <c r="CP12" s="86"/>
      <c r="CQ12" s="86"/>
      <c r="CR12" s="86"/>
      <c r="CS12" s="86"/>
      <c r="CT12" s="86"/>
      <c r="CU12" s="86"/>
      <c r="CV12" s="86"/>
      <c r="CW12" s="86"/>
      <c r="CX12" s="63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  <c r="FJ12" s="86"/>
      <c r="FK12" s="86"/>
      <c r="FL12" s="86"/>
      <c r="FM12" s="86"/>
      <c r="FN12" s="86"/>
      <c r="FO12" s="86"/>
      <c r="FP12" s="86"/>
      <c r="FQ12" s="86"/>
      <c r="FR12" s="86"/>
      <c r="FS12" s="86"/>
      <c r="FT12" s="86"/>
      <c r="FU12" s="86"/>
      <c r="FV12" s="86"/>
      <c r="FW12" s="86"/>
      <c r="FX12" s="86"/>
      <c r="FY12" s="86"/>
      <c r="FZ12" s="86"/>
      <c r="GA12" s="86"/>
      <c r="GB12" s="86"/>
      <c r="GC12" s="86"/>
      <c r="GD12" s="86"/>
      <c r="GE12" s="86"/>
      <c r="GF12" s="86"/>
      <c r="GG12" s="86"/>
      <c r="GH12" s="86"/>
      <c r="GI12" s="86"/>
      <c r="GJ12" s="86"/>
      <c r="GK12" s="86"/>
      <c r="GL12" s="86"/>
      <c r="GM12" s="86"/>
      <c r="GN12" s="86"/>
      <c r="GO12" s="86"/>
      <c r="GP12" s="86"/>
      <c r="GQ12" s="86"/>
      <c r="GR12" s="86"/>
      <c r="GS12" s="86"/>
      <c r="GT12" s="63"/>
      <c r="GU12" s="52"/>
      <c r="GV12" s="52"/>
      <c r="GW12" s="52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2"/>
      <c r="II12" s="52"/>
      <c r="IJ12" s="52"/>
      <c r="IK12" s="52"/>
      <c r="IL12" s="52"/>
      <c r="IM12" s="52"/>
      <c r="IN12" s="52"/>
      <c r="IO12" s="52"/>
      <c r="IP12" s="52"/>
      <c r="IQ12" s="105"/>
      <c r="IR12" s="86"/>
      <c r="IS12" s="86"/>
      <c r="IT12" s="86"/>
      <c r="IU12" s="86"/>
      <c r="IV12" s="86"/>
      <c r="IW12" s="86"/>
      <c r="IX12" s="86"/>
      <c r="IY12" s="86"/>
      <c r="IZ12" s="86"/>
      <c r="JA12" s="86"/>
      <c r="JB12" s="86"/>
      <c r="JC12" s="86"/>
      <c r="JD12" s="86"/>
      <c r="JE12" s="86"/>
      <c r="JF12" s="86"/>
      <c r="JG12" s="86"/>
      <c r="JH12" s="86"/>
      <c r="JI12" s="86"/>
      <c r="JJ12" s="86"/>
      <c r="JK12" s="86"/>
      <c r="JL12" s="86"/>
      <c r="JM12" s="86"/>
      <c r="JN12" s="86"/>
      <c r="JO12" s="86"/>
      <c r="JP12" s="86"/>
      <c r="JQ12" s="86"/>
      <c r="JR12" s="86"/>
      <c r="JS12" s="86"/>
      <c r="JT12" s="86"/>
      <c r="JU12" s="86"/>
      <c r="JV12" s="86"/>
      <c r="JW12" s="86"/>
      <c r="JX12" s="86"/>
      <c r="JY12" s="86"/>
      <c r="JZ12" s="86"/>
      <c r="KA12" s="86"/>
      <c r="KB12" s="86"/>
      <c r="KC12" s="86"/>
      <c r="KD12" s="86"/>
      <c r="KE12" s="86"/>
      <c r="KF12" s="86"/>
      <c r="KG12" s="86"/>
      <c r="KH12" s="86"/>
      <c r="KI12" s="86"/>
      <c r="KJ12" s="86"/>
      <c r="KK12" s="86"/>
      <c r="KL12" s="86"/>
      <c r="KM12" s="86"/>
      <c r="KN12" s="86"/>
      <c r="KO12" s="86"/>
    </row>
    <row r="13" spans="1:321" s="24" customFormat="1" ht="20" thickBot="1" x14ac:dyDescent="0.3">
      <c r="A13" s="41" t="s">
        <v>8</v>
      </c>
      <c r="B13" s="106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64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87"/>
      <c r="EW13" s="87"/>
      <c r="EX13" s="87"/>
      <c r="EY13" s="87"/>
      <c r="EZ13" s="87"/>
      <c r="FA13" s="87"/>
      <c r="FB13" s="87"/>
      <c r="FC13" s="87"/>
      <c r="FD13" s="87"/>
      <c r="FE13" s="87"/>
      <c r="FF13" s="87"/>
      <c r="FG13" s="87"/>
      <c r="FH13" s="87"/>
      <c r="FI13" s="87"/>
      <c r="FJ13" s="87"/>
      <c r="FK13" s="87"/>
      <c r="FL13" s="87"/>
      <c r="FM13" s="87"/>
      <c r="FN13" s="87"/>
      <c r="FO13" s="87"/>
      <c r="FP13" s="87"/>
      <c r="FQ13" s="87"/>
      <c r="FR13" s="87"/>
      <c r="FS13" s="87"/>
      <c r="FT13" s="87"/>
      <c r="FU13" s="87"/>
      <c r="FV13" s="87"/>
      <c r="FW13" s="87"/>
      <c r="FX13" s="87"/>
      <c r="FY13" s="87"/>
      <c r="FZ13" s="87"/>
      <c r="GA13" s="87"/>
      <c r="GB13" s="87"/>
      <c r="GC13" s="87"/>
      <c r="GD13" s="87"/>
      <c r="GE13" s="87"/>
      <c r="GF13" s="87"/>
      <c r="GG13" s="87"/>
      <c r="GH13" s="87"/>
      <c r="GI13" s="87"/>
      <c r="GJ13" s="87"/>
      <c r="GK13" s="87"/>
      <c r="GL13" s="87"/>
      <c r="GM13" s="87"/>
      <c r="GN13" s="87"/>
      <c r="GO13" s="87"/>
      <c r="GP13" s="87"/>
      <c r="GQ13" s="87"/>
      <c r="GR13" s="87"/>
      <c r="GS13" s="87"/>
      <c r="GT13" s="64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107"/>
      <c r="IR13" s="87"/>
      <c r="IS13" s="87"/>
      <c r="IT13" s="87"/>
      <c r="IU13" s="87"/>
      <c r="IV13" s="87"/>
      <c r="IW13" s="87"/>
      <c r="IX13" s="87"/>
      <c r="IY13" s="87"/>
      <c r="IZ13" s="87"/>
      <c r="JA13" s="87"/>
      <c r="JB13" s="87"/>
      <c r="JC13" s="87"/>
      <c r="JD13" s="87"/>
      <c r="JE13" s="87"/>
      <c r="JF13" s="87"/>
      <c r="JG13" s="87"/>
      <c r="JH13" s="87"/>
      <c r="JI13" s="87"/>
      <c r="JJ13" s="87"/>
      <c r="JK13" s="87"/>
      <c r="JL13" s="87"/>
      <c r="JM13" s="87"/>
      <c r="JN13" s="87"/>
      <c r="JO13" s="87"/>
      <c r="JP13" s="87"/>
      <c r="JQ13" s="87"/>
      <c r="JR13" s="87"/>
      <c r="JS13" s="87"/>
      <c r="JT13" s="87"/>
      <c r="JU13" s="87"/>
      <c r="JV13" s="87"/>
      <c r="JW13" s="87"/>
      <c r="JX13" s="87"/>
      <c r="JY13" s="87"/>
      <c r="JZ13" s="87"/>
      <c r="KA13" s="87"/>
      <c r="KB13" s="87"/>
      <c r="KC13" s="87"/>
      <c r="KD13" s="87"/>
      <c r="KE13" s="87"/>
      <c r="KF13" s="87"/>
      <c r="KG13" s="87"/>
      <c r="KH13" s="87"/>
      <c r="KI13" s="87"/>
      <c r="KJ13" s="87"/>
      <c r="KK13" s="87"/>
      <c r="KL13" s="87"/>
      <c r="KM13" s="87"/>
      <c r="KN13" s="87"/>
      <c r="KO13" s="87"/>
    </row>
    <row r="14" spans="1:321" s="43" customFormat="1" ht="20" thickBot="1" x14ac:dyDescent="0.3">
      <c r="A14" s="12" t="s">
        <v>262</v>
      </c>
      <c r="B14" s="108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IQ14" s="44"/>
    </row>
    <row r="15" spans="1:321" s="42" customFormat="1" x14ac:dyDescent="0.25">
      <c r="A15" s="20" t="s">
        <v>4</v>
      </c>
      <c r="B15" s="109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7"/>
      <c r="AF15" s="80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2"/>
      <c r="BJ15" s="65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7"/>
      <c r="CN15" s="80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2"/>
      <c r="DR15" s="65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7"/>
      <c r="EV15" s="80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2"/>
      <c r="FZ15" s="65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7"/>
      <c r="HD15" s="80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2"/>
      <c r="IH15" s="65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7"/>
      <c r="JL15" s="80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2"/>
    </row>
    <row r="16" spans="1:321" s="42" customFormat="1" x14ac:dyDescent="0.25">
      <c r="A16" s="19" t="s">
        <v>5</v>
      </c>
      <c r="B16" s="110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6"/>
      <c r="AF16" s="77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9"/>
      <c r="BJ16" s="54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6"/>
      <c r="CN16" s="77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9"/>
      <c r="DR16" s="54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6"/>
      <c r="EV16" s="77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9"/>
      <c r="FZ16" s="54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6"/>
      <c r="HD16" s="77"/>
      <c r="HE16" s="78"/>
      <c r="HF16" s="78"/>
      <c r="HG16" s="78"/>
      <c r="HH16" s="78"/>
      <c r="HI16" s="78"/>
      <c r="HJ16" s="78"/>
      <c r="HK16" s="78"/>
      <c r="HL16" s="78"/>
      <c r="HM16" s="78"/>
      <c r="HN16" s="78"/>
      <c r="HO16" s="78"/>
      <c r="HP16" s="78"/>
      <c r="HQ16" s="78"/>
      <c r="HR16" s="78"/>
      <c r="HS16" s="78"/>
      <c r="HT16" s="78"/>
      <c r="HU16" s="78"/>
      <c r="HV16" s="78"/>
      <c r="HW16" s="79"/>
      <c r="IH16" s="54"/>
      <c r="II16" s="55"/>
      <c r="IJ16" s="55"/>
      <c r="IK16" s="55"/>
      <c r="IL16" s="55"/>
      <c r="IM16" s="55"/>
      <c r="IN16" s="55"/>
      <c r="IO16" s="55"/>
      <c r="IP16" s="55"/>
      <c r="IQ16" s="55"/>
      <c r="IR16" s="55"/>
      <c r="IS16" s="55"/>
      <c r="IT16" s="55"/>
      <c r="IU16" s="55"/>
      <c r="IV16" s="55"/>
      <c r="IW16" s="55"/>
      <c r="IX16" s="55"/>
      <c r="IY16" s="55"/>
      <c r="IZ16" s="55"/>
      <c r="JA16" s="56"/>
      <c r="JL16" s="77"/>
      <c r="JM16" s="78"/>
      <c r="JN16" s="78"/>
      <c r="JO16" s="78"/>
      <c r="JP16" s="78"/>
      <c r="JQ16" s="78"/>
      <c r="JR16" s="78"/>
      <c r="JS16" s="78"/>
      <c r="JT16" s="78"/>
      <c r="JU16" s="78"/>
      <c r="JV16" s="78"/>
      <c r="JW16" s="78"/>
      <c r="JX16" s="78"/>
      <c r="JY16" s="78"/>
      <c r="JZ16" s="78"/>
      <c r="KA16" s="78"/>
      <c r="KB16" s="78"/>
      <c r="KC16" s="78"/>
      <c r="KD16" s="78"/>
      <c r="KE16" s="79"/>
    </row>
    <row r="17" spans="1:301" s="42" customFormat="1" x14ac:dyDescent="0.25">
      <c r="A17" s="21" t="s">
        <v>6</v>
      </c>
      <c r="B17" s="111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9"/>
      <c r="AP17" s="83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5"/>
      <c r="CD17" s="57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9"/>
      <c r="DR17" s="83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5"/>
      <c r="FF17" s="57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9"/>
      <c r="GT17" s="83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5"/>
      <c r="IH17" s="57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  <c r="IV17" s="58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9"/>
    </row>
    <row r="18" spans="1:301" s="42" customFormat="1" x14ac:dyDescent="0.25">
      <c r="A18" s="15" t="s">
        <v>7</v>
      </c>
      <c r="B18" s="112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70"/>
      <c r="AZ18" s="88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90"/>
      <c r="CX18" s="68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69"/>
      <c r="DT18" s="69"/>
      <c r="DU18" s="69"/>
      <c r="DV18" s="69"/>
      <c r="DW18" s="69"/>
      <c r="DX18" s="69"/>
      <c r="DY18" s="69"/>
      <c r="DZ18" s="69"/>
      <c r="EA18" s="69"/>
      <c r="EB18" s="69"/>
      <c r="EC18" s="69"/>
      <c r="ED18" s="69"/>
      <c r="EE18" s="69"/>
      <c r="EF18" s="69"/>
      <c r="EG18" s="69"/>
      <c r="EH18" s="69"/>
      <c r="EI18" s="69"/>
      <c r="EJ18" s="69"/>
      <c r="EK18" s="70"/>
      <c r="EV18" s="88"/>
      <c r="EW18" s="89"/>
      <c r="EX18" s="89"/>
      <c r="EY18" s="89"/>
      <c r="EZ18" s="89"/>
      <c r="FA18" s="89"/>
      <c r="FB18" s="89"/>
      <c r="FC18" s="89"/>
      <c r="FD18" s="89"/>
      <c r="FE18" s="89"/>
      <c r="FF18" s="89"/>
      <c r="FG18" s="89"/>
      <c r="FH18" s="89"/>
      <c r="FI18" s="89"/>
      <c r="FJ18" s="89"/>
      <c r="FK18" s="89"/>
      <c r="FL18" s="89"/>
      <c r="FM18" s="89"/>
      <c r="FN18" s="89"/>
      <c r="FO18" s="89"/>
      <c r="FP18" s="89"/>
      <c r="FQ18" s="89"/>
      <c r="FR18" s="89"/>
      <c r="FS18" s="89"/>
      <c r="FT18" s="89"/>
      <c r="FU18" s="89"/>
      <c r="FV18" s="89"/>
      <c r="FW18" s="89"/>
      <c r="FX18" s="89"/>
      <c r="FY18" s="89"/>
      <c r="FZ18" s="89"/>
      <c r="GA18" s="89"/>
      <c r="GB18" s="89"/>
      <c r="GC18" s="89"/>
      <c r="GD18" s="89"/>
      <c r="GE18" s="89"/>
      <c r="GF18" s="89"/>
      <c r="GG18" s="89"/>
      <c r="GH18" s="89"/>
      <c r="GI18" s="90"/>
      <c r="GT18" s="68"/>
      <c r="GU18" s="69"/>
      <c r="GV18" s="69"/>
      <c r="GW18" s="69"/>
      <c r="GX18" s="69"/>
      <c r="GY18" s="69"/>
      <c r="GZ18" s="69"/>
      <c r="HA18" s="69"/>
      <c r="HB18" s="69"/>
      <c r="HC18" s="69"/>
      <c r="HD18" s="69"/>
      <c r="HE18" s="69"/>
      <c r="HF18" s="69"/>
      <c r="HG18" s="69"/>
      <c r="HH18" s="69"/>
      <c r="HI18" s="69"/>
      <c r="HJ18" s="69"/>
      <c r="HK18" s="69"/>
      <c r="HL18" s="69"/>
      <c r="HM18" s="69"/>
      <c r="HN18" s="69"/>
      <c r="HO18" s="69"/>
      <c r="HP18" s="69"/>
      <c r="HQ18" s="69"/>
      <c r="HR18" s="69"/>
      <c r="HS18" s="69"/>
      <c r="HT18" s="69"/>
      <c r="HU18" s="69"/>
      <c r="HV18" s="69"/>
      <c r="HW18" s="69"/>
      <c r="HX18" s="69"/>
      <c r="HY18" s="69"/>
      <c r="HZ18" s="69"/>
      <c r="IA18" s="69"/>
      <c r="IB18" s="69"/>
      <c r="IC18" s="69"/>
      <c r="ID18" s="69"/>
      <c r="IE18" s="69"/>
      <c r="IF18" s="69"/>
      <c r="IG18" s="70"/>
      <c r="IQ18" s="16"/>
      <c r="IR18" s="88"/>
      <c r="IS18" s="89"/>
      <c r="IT18" s="89"/>
      <c r="IU18" s="89"/>
      <c r="IV18" s="89"/>
      <c r="IW18" s="89"/>
      <c r="IX18" s="89"/>
      <c r="IY18" s="89"/>
      <c r="IZ18" s="89"/>
      <c r="JA18" s="89"/>
      <c r="JB18" s="89"/>
      <c r="JC18" s="89"/>
      <c r="JD18" s="89"/>
      <c r="JE18" s="89"/>
      <c r="JF18" s="89"/>
      <c r="JG18" s="89"/>
      <c r="JH18" s="89"/>
      <c r="JI18" s="89"/>
      <c r="JJ18" s="89"/>
      <c r="JK18" s="89"/>
      <c r="JL18" s="89"/>
      <c r="JM18" s="89"/>
      <c r="JN18" s="89"/>
      <c r="JO18" s="89"/>
      <c r="JP18" s="89"/>
      <c r="JQ18" s="89"/>
      <c r="JR18" s="89"/>
      <c r="JS18" s="89"/>
      <c r="JT18" s="89"/>
      <c r="JU18" s="89"/>
      <c r="JV18" s="89"/>
      <c r="JW18" s="89"/>
      <c r="JX18" s="89"/>
      <c r="JY18" s="89"/>
      <c r="JZ18" s="89"/>
      <c r="KA18" s="89"/>
      <c r="KB18" s="89"/>
      <c r="KC18" s="89"/>
      <c r="KD18" s="89"/>
      <c r="KE18" s="90"/>
    </row>
    <row r="19" spans="1:301" s="14" customFormat="1" ht="20" thickBot="1" x14ac:dyDescent="0.3">
      <c r="A19" s="22" t="s">
        <v>8</v>
      </c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91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2"/>
      <c r="BO19" s="92"/>
      <c r="BP19" s="92"/>
      <c r="BQ19" s="92"/>
      <c r="BR19" s="92"/>
      <c r="BS19" s="92"/>
      <c r="BT19" s="92"/>
      <c r="BU19" s="92"/>
      <c r="BV19" s="92"/>
      <c r="BW19" s="92"/>
      <c r="BX19" s="92"/>
      <c r="BY19" s="92"/>
      <c r="BZ19" s="92"/>
      <c r="CA19" s="92"/>
      <c r="CB19" s="92"/>
      <c r="CC19" s="92"/>
      <c r="CD19" s="92"/>
      <c r="CE19" s="92"/>
      <c r="CF19" s="92"/>
      <c r="CG19" s="92"/>
      <c r="CH19" s="92"/>
      <c r="CI19" s="92"/>
      <c r="CJ19" s="92"/>
      <c r="CK19" s="92"/>
      <c r="CL19" s="92"/>
      <c r="CM19" s="92"/>
      <c r="CN19" s="92"/>
      <c r="CO19" s="92"/>
      <c r="CP19" s="92"/>
      <c r="CQ19" s="92"/>
      <c r="CR19" s="92"/>
      <c r="CS19" s="92"/>
      <c r="CT19" s="92"/>
      <c r="CU19" s="92"/>
      <c r="CV19" s="92"/>
      <c r="CW19" s="92"/>
      <c r="CX19" s="71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72"/>
      <c r="ER19" s="72"/>
      <c r="ES19" s="72"/>
      <c r="ET19" s="72"/>
      <c r="EU19" s="72"/>
      <c r="EV19" s="91"/>
      <c r="EW19" s="92"/>
      <c r="EX19" s="92"/>
      <c r="EY19" s="92"/>
      <c r="EZ19" s="92"/>
      <c r="FA19" s="92"/>
      <c r="FB19" s="92"/>
      <c r="FC19" s="92"/>
      <c r="FD19" s="92"/>
      <c r="FE19" s="92"/>
      <c r="FF19" s="92"/>
      <c r="FG19" s="92"/>
      <c r="FH19" s="92"/>
      <c r="FI19" s="92"/>
      <c r="FJ19" s="92"/>
      <c r="FK19" s="92"/>
      <c r="FL19" s="92"/>
      <c r="FM19" s="92"/>
      <c r="FN19" s="92"/>
      <c r="FO19" s="92"/>
      <c r="FP19" s="92"/>
      <c r="FQ19" s="92"/>
      <c r="FR19" s="92"/>
      <c r="FS19" s="92"/>
      <c r="FT19" s="92"/>
      <c r="FU19" s="92"/>
      <c r="FV19" s="92"/>
      <c r="FW19" s="92"/>
      <c r="FX19" s="92"/>
      <c r="FY19" s="92"/>
      <c r="FZ19" s="92"/>
      <c r="GA19" s="92"/>
      <c r="GB19" s="92"/>
      <c r="GC19" s="92"/>
      <c r="GD19" s="92"/>
      <c r="GE19" s="92"/>
      <c r="GF19" s="92"/>
      <c r="GG19" s="92"/>
      <c r="GH19" s="92"/>
      <c r="GI19" s="92"/>
      <c r="GJ19" s="92"/>
      <c r="GK19" s="92"/>
      <c r="GL19" s="92"/>
      <c r="GM19" s="92"/>
      <c r="GN19" s="92"/>
      <c r="GO19" s="92"/>
      <c r="GP19" s="92"/>
      <c r="GQ19" s="92"/>
      <c r="GR19" s="92"/>
      <c r="GS19" s="92"/>
      <c r="GT19" s="71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113"/>
      <c r="IR19" s="91"/>
      <c r="IS19" s="92"/>
      <c r="IT19" s="92"/>
      <c r="IU19" s="92"/>
      <c r="IV19" s="92"/>
      <c r="IW19" s="92"/>
      <c r="IX19" s="92"/>
      <c r="IY19" s="92"/>
      <c r="IZ19" s="92"/>
      <c r="JA19" s="92"/>
      <c r="JB19" s="92"/>
      <c r="JC19" s="92"/>
      <c r="JD19" s="92"/>
      <c r="JE19" s="92"/>
      <c r="JF19" s="92"/>
      <c r="JG19" s="92"/>
      <c r="JH19" s="92"/>
      <c r="JI19" s="92"/>
      <c r="JJ19" s="92"/>
      <c r="JK19" s="92"/>
      <c r="JL19" s="92"/>
      <c r="JM19" s="92"/>
      <c r="JN19" s="92"/>
      <c r="JO19" s="92"/>
      <c r="JP19" s="92"/>
      <c r="JQ19" s="92"/>
      <c r="JR19" s="92"/>
      <c r="JS19" s="92"/>
      <c r="JT19" s="92"/>
      <c r="JU19" s="92"/>
      <c r="JV19" s="92"/>
      <c r="JW19" s="92"/>
      <c r="JX19" s="92"/>
      <c r="JY19" s="92"/>
      <c r="JZ19" s="92"/>
      <c r="KA19" s="92"/>
      <c r="KB19" s="92"/>
      <c r="KC19" s="92"/>
      <c r="KD19" s="92"/>
      <c r="KE19" s="92"/>
      <c r="KF19" s="92"/>
      <c r="KG19" s="92"/>
      <c r="KH19" s="92"/>
      <c r="KI19" s="92"/>
      <c r="KJ19" s="92"/>
      <c r="KK19" s="92"/>
      <c r="KL19" s="92"/>
      <c r="KM19" s="92"/>
      <c r="KN19" s="92"/>
      <c r="KO19" s="92"/>
    </row>
    <row r="20" spans="1:301" ht="20" thickBot="1" x14ac:dyDescent="0.3"/>
    <row r="21" spans="1:301" x14ac:dyDescent="0.25">
      <c r="A21" s="13" t="s">
        <v>4</v>
      </c>
    </row>
    <row r="22" spans="1:301" ht="20" thickBot="1" x14ac:dyDescent="0.3">
      <c r="A22" s="46">
        <v>2</v>
      </c>
    </row>
    <row r="23" spans="1:301" ht="20" thickBot="1" x14ac:dyDescent="0.3"/>
    <row r="24" spans="1:301" x14ac:dyDescent="0.25">
      <c r="A24" s="47" t="s">
        <v>5</v>
      </c>
    </row>
    <row r="25" spans="1:301" ht="20" thickBot="1" x14ac:dyDescent="0.3">
      <c r="A25" s="46">
        <v>4</v>
      </c>
    </row>
    <row r="26" spans="1:301" ht="20" thickBot="1" x14ac:dyDescent="0.3"/>
    <row r="27" spans="1:301" x14ac:dyDescent="0.25">
      <c r="A27" s="47" t="s">
        <v>6</v>
      </c>
    </row>
    <row r="28" spans="1:301" ht="20" thickBot="1" x14ac:dyDescent="0.3">
      <c r="A28" s="46">
        <v>10</v>
      </c>
    </row>
    <row r="29" spans="1:301" ht="20" thickBot="1" x14ac:dyDescent="0.3"/>
    <row r="30" spans="1:301" x14ac:dyDescent="0.25">
      <c r="A30" s="47" t="s">
        <v>7</v>
      </c>
    </row>
    <row r="31" spans="1:301" ht="20" thickBot="1" x14ac:dyDescent="0.3">
      <c r="A31" s="48">
        <v>21</v>
      </c>
    </row>
    <row r="32" spans="1:301" ht="20" thickBot="1" x14ac:dyDescent="0.3"/>
    <row r="33" spans="1:1" x14ac:dyDescent="0.25">
      <c r="A33" s="47" t="s">
        <v>8</v>
      </c>
    </row>
    <row r="34" spans="1:1" ht="20" thickBot="1" x14ac:dyDescent="0.3">
      <c r="A34" s="46">
        <v>5</v>
      </c>
    </row>
  </sheetData>
  <mergeCells count="79">
    <mergeCell ref="JL15:JZ15"/>
    <mergeCell ref="JL16:KE16"/>
    <mergeCell ref="IR18:KE18"/>
    <mergeCell ref="IR19:KO19"/>
    <mergeCell ref="B18:AO18"/>
    <mergeCell ref="AZ18:CM18"/>
    <mergeCell ref="CX18:EK18"/>
    <mergeCell ref="EV18:GI18"/>
    <mergeCell ref="GT18:IG18"/>
    <mergeCell ref="B19:AY19"/>
    <mergeCell ref="AZ19:CW19"/>
    <mergeCell ref="CX19:EU19"/>
    <mergeCell ref="EV19:GS19"/>
    <mergeCell ref="GT19:IQ19"/>
    <mergeCell ref="HD16:HW16"/>
    <mergeCell ref="IH16:JA16"/>
    <mergeCell ref="B17:AJ17"/>
    <mergeCell ref="AP17:BX17"/>
    <mergeCell ref="CD17:DL17"/>
    <mergeCell ref="DR17:EZ17"/>
    <mergeCell ref="FF17:GN17"/>
    <mergeCell ref="GT17:IB17"/>
    <mergeCell ref="IH17:JP17"/>
    <mergeCell ref="FZ15:GN15"/>
    <mergeCell ref="HD15:HR15"/>
    <mergeCell ref="IH15:IV15"/>
    <mergeCell ref="B16:U16"/>
    <mergeCell ref="AF16:AY16"/>
    <mergeCell ref="BJ16:CC16"/>
    <mergeCell ref="CN16:DG16"/>
    <mergeCell ref="DR16:EK16"/>
    <mergeCell ref="EV16:FO16"/>
    <mergeCell ref="FZ16:GS16"/>
    <mergeCell ref="B15:P15"/>
    <mergeCell ref="AF15:AT15"/>
    <mergeCell ref="BJ15:BX15"/>
    <mergeCell ref="CN15:DB15"/>
    <mergeCell ref="DR15:EF15"/>
    <mergeCell ref="EV15:FJ15"/>
    <mergeCell ref="B13:AY13"/>
    <mergeCell ref="AZ13:CW13"/>
    <mergeCell ref="CX13:EU13"/>
    <mergeCell ref="EV13:GS13"/>
    <mergeCell ref="GT13:IQ13"/>
    <mergeCell ref="IR13:KO13"/>
    <mergeCell ref="IH11:JU11"/>
    <mergeCell ref="JV11:LI11"/>
    <mergeCell ref="B12:AY12"/>
    <mergeCell ref="AZ12:CW12"/>
    <mergeCell ref="CX12:EU12"/>
    <mergeCell ref="EV12:GS12"/>
    <mergeCell ref="GT12:IQ12"/>
    <mergeCell ref="IR12:KO12"/>
    <mergeCell ref="FZ10:HC10"/>
    <mergeCell ref="HD10:IG10"/>
    <mergeCell ref="IH10:JK10"/>
    <mergeCell ref="JL10:KO10"/>
    <mergeCell ref="B11:AO11"/>
    <mergeCell ref="AP11:CC11"/>
    <mergeCell ref="CD11:DQ11"/>
    <mergeCell ref="DR11:FE11"/>
    <mergeCell ref="FF11:GS11"/>
    <mergeCell ref="GT11:IG11"/>
    <mergeCell ref="FZ9:HC9"/>
    <mergeCell ref="HD9:IG9"/>
    <mergeCell ref="IH9:JK9"/>
    <mergeCell ref="JL9:KO9"/>
    <mergeCell ref="B10:AE10"/>
    <mergeCell ref="AF10:BI10"/>
    <mergeCell ref="BJ10:CM10"/>
    <mergeCell ref="CN10:DQ10"/>
    <mergeCell ref="DR10:EU10"/>
    <mergeCell ref="EV10:FY10"/>
    <mergeCell ref="B9:AE9"/>
    <mergeCell ref="AF9:BI9"/>
    <mergeCell ref="BJ9:CM9"/>
    <mergeCell ref="CN9:DQ9"/>
    <mergeCell ref="DR9:EU9"/>
    <mergeCell ref="EV9:FY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Template</vt:lpstr>
      <vt:lpstr>Scheduling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Ziang Dai</dc:creator>
  <cp:keywords/>
  <dc:description/>
  <cp:lastModifiedBy>Admin</cp:lastModifiedBy>
  <dcterms:created xsi:type="dcterms:W3CDTF">2025-06-09T15:33:40Z</dcterms:created>
  <dcterms:modified xsi:type="dcterms:W3CDTF">2025-06-17T20:17:43Z</dcterms:modified>
  <cp:category/>
</cp:coreProperties>
</file>